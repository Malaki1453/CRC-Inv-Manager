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trightcatch.sharepoint.com/sites/CRCBusinessHub/Shared Documents/00 - Business Operations/"/>
    </mc:Choice>
  </mc:AlternateContent>
  <xr:revisionPtr revIDLastSave="12020" documentId="8_{9AA866AE-6C15-4D39-8D90-0CE7A80ACAC8}" xr6:coauthVersionLast="47" xr6:coauthVersionMax="47" xr10:uidLastSave="{E458039D-B68A-4926-9F39-57E50E8BFC83}"/>
  <bookViews>
    <workbookView xWindow="13860" yWindow="-21600" windowWidth="24615" windowHeight="20985" xr2:uid="{F7DB8CD3-B0D5-472F-B963-01D780668FE4}"/>
  </bookViews>
  <sheets>
    <sheet name="Direct Trades-June" sheetId="2" r:id="rId1"/>
    <sheet name="Customers" sheetId="5" r:id="rId2"/>
    <sheet name="Vendors" sheetId="4" r:id="rId3"/>
    <sheet name="NOTES " sheetId="9" r:id="rId4"/>
    <sheet name="Item Codes" sheetId="6" r:id="rId5"/>
    <sheet name="Debit Form" sheetId="10" r:id="rId6"/>
    <sheet name="CREDIT FORM" sheetId="11" r:id="rId7"/>
  </sheets>
  <definedNames>
    <definedName name="_xlnm._FilterDatabase" localSheetId="1" hidden="1">Customers!$A$1:$P$1</definedName>
    <definedName name="_xlnm._FilterDatabase" localSheetId="0" hidden="1">'Direct Trades-June'!$A$91:$BF$91</definedName>
    <definedName name="_xlnm._FilterDatabase" localSheetId="4" hidden="1">'Item Codes'!$A$1:$F$1</definedName>
    <definedName name="_xlnm._FilterDatabase" localSheetId="2" hidden="1">Vendors!$A$2:$Z$2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" i="2" l="1"/>
  <c r="N161" i="2"/>
  <c r="AD161" i="2"/>
  <c r="N123" i="2"/>
  <c r="M123" i="2"/>
  <c r="M160" i="2"/>
  <c r="N160" i="2"/>
  <c r="AD160" i="2"/>
  <c r="M159" i="2"/>
  <c r="N159" i="2"/>
  <c r="AD159" i="2"/>
  <c r="M158" i="2"/>
  <c r="N158" i="2"/>
  <c r="AD158" i="2"/>
  <c r="M157" i="2"/>
  <c r="N157" i="2"/>
  <c r="AD157" i="2"/>
  <c r="M156" i="2"/>
  <c r="N156" i="2"/>
  <c r="AD156" i="2"/>
  <c r="M155" i="2"/>
  <c r="N155" i="2"/>
  <c r="AD155" i="2"/>
  <c r="AH135" i="2"/>
  <c r="AI135" i="2"/>
  <c r="AK135" i="2"/>
  <c r="AL135" i="2"/>
  <c r="AH136" i="2"/>
  <c r="AI136" i="2"/>
  <c r="AK136" i="2"/>
  <c r="AL136" i="2"/>
  <c r="AH137" i="2"/>
  <c r="AI137" i="2"/>
  <c r="AK137" i="2"/>
  <c r="AL137" i="2"/>
  <c r="AH138" i="2"/>
  <c r="AI138" i="2"/>
  <c r="AK138" i="2"/>
  <c r="AL138" i="2"/>
  <c r="AH139" i="2"/>
  <c r="AI139" i="2"/>
  <c r="AK139" i="2"/>
  <c r="AL139" i="2"/>
  <c r="AH140" i="2"/>
  <c r="AI140" i="2"/>
  <c r="AK140" i="2"/>
  <c r="AL140" i="2"/>
  <c r="AH141" i="2"/>
  <c r="AI141" i="2"/>
  <c r="AK141" i="2"/>
  <c r="AL141" i="2"/>
  <c r="AH142" i="2"/>
  <c r="AI142" i="2"/>
  <c r="AK142" i="2"/>
  <c r="AL142" i="2"/>
  <c r="AH143" i="2"/>
  <c r="AI143" i="2"/>
  <c r="AK143" i="2"/>
  <c r="AL143" i="2"/>
  <c r="AH144" i="2"/>
  <c r="AI144" i="2"/>
  <c r="AK144" i="2"/>
  <c r="AL144" i="2"/>
  <c r="AH145" i="2"/>
  <c r="AI145" i="2"/>
  <c r="AK145" i="2"/>
  <c r="AL145" i="2" s="1"/>
  <c r="AH146" i="2"/>
  <c r="AI146" i="2"/>
  <c r="AK146" i="2"/>
  <c r="AL146" i="2"/>
  <c r="AH147" i="2"/>
  <c r="AI147" i="2"/>
  <c r="AK147" i="2"/>
  <c r="AL147" i="2"/>
  <c r="AH148" i="2"/>
  <c r="AI148" i="2"/>
  <c r="AK148" i="2"/>
  <c r="AL148" i="2"/>
  <c r="AH149" i="2"/>
  <c r="AI149" i="2"/>
  <c r="AK149" i="2"/>
  <c r="AL149" i="2"/>
  <c r="AH150" i="2"/>
  <c r="AI150" i="2"/>
  <c r="AK150" i="2"/>
  <c r="AL150" i="2"/>
  <c r="AH151" i="2"/>
  <c r="AI151" i="2"/>
  <c r="AK151" i="2"/>
  <c r="AL151" i="2"/>
  <c r="AH152" i="2"/>
  <c r="AI152" i="2"/>
  <c r="AK152" i="2"/>
  <c r="AL152" i="2"/>
  <c r="AH153" i="2"/>
  <c r="AI153" i="2"/>
  <c r="AK153" i="2"/>
  <c r="AL153" i="2"/>
  <c r="M154" i="2"/>
  <c r="N154" i="2"/>
  <c r="AD154" i="2"/>
  <c r="M153" i="2"/>
  <c r="N153" i="2"/>
  <c r="AD153" i="2"/>
  <c r="M152" i="2"/>
  <c r="N152" i="2"/>
  <c r="AD152" i="2"/>
  <c r="M151" i="2"/>
  <c r="N151" i="2"/>
  <c r="AD151" i="2"/>
  <c r="M150" i="2"/>
  <c r="M149" i="2"/>
  <c r="AD150" i="2"/>
  <c r="N150" i="2"/>
  <c r="AD149" i="2"/>
  <c r="N149" i="2"/>
  <c r="M148" i="2" l="1"/>
  <c r="AD148" i="2"/>
  <c r="N148" i="2"/>
  <c r="M147" i="2"/>
  <c r="N147" i="2"/>
  <c r="AD147" i="2"/>
  <c r="M146" i="2"/>
  <c r="N146" i="2"/>
  <c r="AD146" i="2"/>
  <c r="M145" i="2"/>
  <c r="N145" i="2"/>
  <c r="AD145" i="2"/>
  <c r="M144" i="2"/>
  <c r="N144" i="2"/>
  <c r="AD144" i="2"/>
  <c r="M143" i="2"/>
  <c r="N143" i="2"/>
  <c r="AD143" i="2"/>
  <c r="M142" i="2"/>
  <c r="N142" i="2"/>
  <c r="AD142" i="2"/>
  <c r="M141" i="2"/>
  <c r="N141" i="2"/>
  <c r="AD141" i="2"/>
  <c r="M140" i="2"/>
  <c r="N140" i="2"/>
  <c r="AD140" i="2"/>
  <c r="M139" i="2"/>
  <c r="N139" i="2"/>
  <c r="AD139" i="2"/>
  <c r="M138" i="2"/>
  <c r="N138" i="2"/>
  <c r="AD138" i="2"/>
  <c r="M137" i="2"/>
  <c r="N137" i="2"/>
  <c r="AD137" i="2"/>
  <c r="I18" i="11"/>
  <c r="F18" i="11"/>
  <c r="J12" i="11"/>
  <c r="H12" i="11"/>
  <c r="H18" i="11" s="1"/>
  <c r="M102" i="2"/>
  <c r="Y58" i="2"/>
  <c r="M136" i="2"/>
  <c r="M135" i="2"/>
  <c r="N136" i="2"/>
  <c r="AD136" i="2"/>
  <c r="N135" i="2"/>
  <c r="AD135" i="2"/>
  <c r="L172" i="2"/>
  <c r="M172" i="2"/>
  <c r="AC172" i="2"/>
  <c r="AE172" i="2"/>
  <c r="AH172" i="2"/>
  <c r="L173" i="2"/>
  <c r="M173" i="2"/>
  <c r="AC173" i="2"/>
  <c r="AE173" i="2"/>
  <c r="AH173" i="2" s="1"/>
  <c r="L174" i="2"/>
  <c r="M174" i="2"/>
  <c r="W174" i="2"/>
  <c r="Y174" i="2" s="1"/>
  <c r="AJ174" i="2" s="1"/>
  <c r="AK174" i="2" s="1"/>
  <c r="AL174" i="2" s="1"/>
  <c r="AC174" i="2"/>
  <c r="AE174" i="2"/>
  <c r="AH174" i="2"/>
  <c r="L175" i="2"/>
  <c r="M175" i="2"/>
  <c r="AC175" i="2"/>
  <c r="AE175" i="2"/>
  <c r="AG175" i="2"/>
  <c r="AH175" i="2"/>
  <c r="AJ175" i="2"/>
  <c r="AK175" i="2" s="1"/>
  <c r="L176" i="2"/>
  <c r="M176" i="2"/>
  <c r="AC176" i="2"/>
  <c r="AE176" i="2"/>
  <c r="AH176" i="2" s="1"/>
  <c r="AG176" i="2"/>
  <c r="AJ176" i="2"/>
  <c r="AK176" i="2" s="1"/>
  <c r="K177" i="2"/>
  <c r="Q177" i="2"/>
  <c r="T177" i="2"/>
  <c r="W177" i="2"/>
  <c r="Z177" i="2"/>
  <c r="AC177" i="2"/>
  <c r="AE131" i="2"/>
  <c r="AH131" i="2" s="1"/>
  <c r="AE130" i="2"/>
  <c r="AH130" i="2" s="1"/>
  <c r="AK128" i="2"/>
  <c r="AL128" i="2" s="1"/>
  <c r="AH128" i="2"/>
  <c r="AF128" i="2"/>
  <c r="AI128" i="2" s="1"/>
  <c r="AD128" i="2"/>
  <c r="N128" i="2"/>
  <c r="M128" i="2"/>
  <c r="AE115" i="2"/>
  <c r="AE116" i="2"/>
  <c r="AE117" i="2"/>
  <c r="AE114" i="2"/>
  <c r="AE113" i="2"/>
  <c r="AH113" i="2" s="1"/>
  <c r="AE110" i="2"/>
  <c r="AE109" i="2"/>
  <c r="AE108" i="2"/>
  <c r="AH108" i="2" s="1"/>
  <c r="AE107" i="2"/>
  <c r="AH107" i="2" s="1"/>
  <c r="AE106" i="2"/>
  <c r="AH106" i="2" s="1"/>
  <c r="AE103" i="2"/>
  <c r="AH103" i="2" s="1"/>
  <c r="AE102" i="2"/>
  <c r="AH102" i="2" s="1"/>
  <c r="AI114" i="2"/>
  <c r="AI115" i="2"/>
  <c r="AI116" i="2"/>
  <c r="AI117" i="2"/>
  <c r="AI131" i="2"/>
  <c r="J12" i="10"/>
  <c r="H12" i="10"/>
  <c r="K12" i="10"/>
  <c r="J18" i="10"/>
  <c r="I18" i="10"/>
  <c r="F18" i="10"/>
  <c r="H18" i="10"/>
  <c r="N107" i="2"/>
  <c r="X35" i="2"/>
  <c r="X34" i="2"/>
  <c r="AR47" i="2"/>
  <c r="AR64" i="2"/>
  <c r="Q125" i="2"/>
  <c r="AK166" i="2"/>
  <c r="AL166" i="2" s="1"/>
  <c r="AK134" i="2"/>
  <c r="AL134" i="2" s="1"/>
  <c r="AK133" i="2"/>
  <c r="AL133" i="2" s="1"/>
  <c r="AK132" i="2"/>
  <c r="AL132" i="2" s="1"/>
  <c r="AK129" i="2"/>
  <c r="AL129" i="2" s="1"/>
  <c r="AK127" i="2"/>
  <c r="AL127" i="2" s="1"/>
  <c r="AK126" i="2"/>
  <c r="AL126" i="2" s="1"/>
  <c r="AK125" i="2"/>
  <c r="AL125" i="2" s="1"/>
  <c r="AK124" i="2"/>
  <c r="AL124" i="2" s="1"/>
  <c r="AK123" i="2"/>
  <c r="AL123" i="2" s="1"/>
  <c r="AK122" i="2"/>
  <c r="AL122" i="2" s="1"/>
  <c r="AK121" i="2"/>
  <c r="AL121" i="2" s="1"/>
  <c r="AK120" i="2"/>
  <c r="AL120" i="2" s="1"/>
  <c r="AK118" i="2"/>
  <c r="AL118" i="2" s="1"/>
  <c r="AH166" i="2"/>
  <c r="AH134" i="2"/>
  <c r="AH133" i="2"/>
  <c r="AH132" i="2"/>
  <c r="AH129" i="2"/>
  <c r="AH127" i="2"/>
  <c r="AH126" i="2"/>
  <c r="AH125" i="2"/>
  <c r="AH124" i="2"/>
  <c r="AH123" i="2"/>
  <c r="AH122" i="2"/>
  <c r="AH121" i="2"/>
  <c r="AH120" i="2"/>
  <c r="AH119" i="2"/>
  <c r="AH118" i="2"/>
  <c r="AF166" i="2"/>
  <c r="AI166" i="2" s="1"/>
  <c r="AF134" i="2"/>
  <c r="AI134" i="2" s="1"/>
  <c r="AF133" i="2"/>
  <c r="AI133" i="2" s="1"/>
  <c r="AF132" i="2"/>
  <c r="AI132" i="2" s="1"/>
  <c r="AI130" i="2"/>
  <c r="AF129" i="2"/>
  <c r="AI129" i="2" s="1"/>
  <c r="AF127" i="2"/>
  <c r="AI127" i="2" s="1"/>
  <c r="AF126" i="2"/>
  <c r="AI126" i="2" s="1"/>
  <c r="AF125" i="2"/>
  <c r="AI125" i="2" s="1"/>
  <c r="AF124" i="2"/>
  <c r="AI124" i="2" s="1"/>
  <c r="AF123" i="2"/>
  <c r="AI123" i="2" s="1"/>
  <c r="AF122" i="2"/>
  <c r="AI122" i="2" s="1"/>
  <c r="AF121" i="2"/>
  <c r="AI121" i="2" s="1"/>
  <c r="AF120" i="2"/>
  <c r="AI120" i="2" s="1"/>
  <c r="AF119" i="2"/>
  <c r="AI119" i="2" s="1"/>
  <c r="AD166" i="2"/>
  <c r="AD134" i="2"/>
  <c r="AD133" i="2"/>
  <c r="AD132" i="2"/>
  <c r="AD131" i="2"/>
  <c r="AD130" i="2"/>
  <c r="AD129" i="2"/>
  <c r="AD127" i="2"/>
  <c r="AD126" i="2"/>
  <c r="AD125" i="2"/>
  <c r="AD124" i="2"/>
  <c r="AD123" i="2"/>
  <c r="AD122" i="2"/>
  <c r="AD121" i="2"/>
  <c r="N166" i="2"/>
  <c r="N134" i="2"/>
  <c r="N133" i="2"/>
  <c r="N132" i="2"/>
  <c r="N131" i="2"/>
  <c r="N130" i="2"/>
  <c r="N129" i="2"/>
  <c r="N127" i="2"/>
  <c r="N126" i="2"/>
  <c r="N125" i="2"/>
  <c r="N124" i="2"/>
  <c r="N122" i="2"/>
  <c r="N121" i="2"/>
  <c r="M166" i="2"/>
  <c r="M134" i="2"/>
  <c r="M133" i="2"/>
  <c r="M132" i="2"/>
  <c r="M131" i="2"/>
  <c r="M130" i="2"/>
  <c r="M129" i="2"/>
  <c r="M127" i="2"/>
  <c r="M126" i="2"/>
  <c r="M125" i="2"/>
  <c r="M124" i="2"/>
  <c r="M122" i="2"/>
  <c r="M121" i="2"/>
  <c r="M120" i="2"/>
  <c r="N120" i="2"/>
  <c r="AD120" i="2"/>
  <c r="AD119" i="2"/>
  <c r="N119" i="2"/>
  <c r="M119" i="2"/>
  <c r="AF118" i="2"/>
  <c r="AI118" i="2" s="1"/>
  <c r="AD118" i="2"/>
  <c r="N118" i="2"/>
  <c r="M118" i="2"/>
  <c r="AD117" i="2"/>
  <c r="N117" i="2"/>
  <c r="M117" i="2"/>
  <c r="AD116" i="2"/>
  <c r="N116" i="2"/>
  <c r="M116" i="2"/>
  <c r="AD115" i="2"/>
  <c r="N115" i="2"/>
  <c r="M115" i="2"/>
  <c r="AD114" i="2"/>
  <c r="N114" i="2"/>
  <c r="M114" i="2"/>
  <c r="AI113" i="2"/>
  <c r="AD113" i="2"/>
  <c r="N113" i="2"/>
  <c r="M113" i="2"/>
  <c r="AH112" i="2"/>
  <c r="AF112" i="2"/>
  <c r="AI112" i="2" s="1"/>
  <c r="AD112" i="2"/>
  <c r="N112" i="2"/>
  <c r="M112" i="2"/>
  <c r="AH111" i="2"/>
  <c r="AF111" i="2"/>
  <c r="AI111" i="2" s="1"/>
  <c r="AD111" i="2"/>
  <c r="N111" i="2"/>
  <c r="M111" i="2"/>
  <c r="AI110" i="2"/>
  <c r="AD110" i="2"/>
  <c r="N110" i="2"/>
  <c r="M110" i="2"/>
  <c r="AI109" i="2"/>
  <c r="AD109" i="2"/>
  <c r="N109" i="2"/>
  <c r="M109" i="2"/>
  <c r="AI108" i="2"/>
  <c r="AD108" i="2"/>
  <c r="N108" i="2"/>
  <c r="M108" i="2"/>
  <c r="AI107" i="2"/>
  <c r="AD107" i="2"/>
  <c r="M107" i="2"/>
  <c r="D107" i="2"/>
  <c r="AI106" i="2"/>
  <c r="AD106" i="2"/>
  <c r="N106" i="2"/>
  <c r="M106" i="2"/>
  <c r="D106" i="2"/>
  <c r="AH105" i="2"/>
  <c r="AF105" i="2"/>
  <c r="AI105" i="2" s="1"/>
  <c r="AD105" i="2"/>
  <c r="N105" i="2"/>
  <c r="M105" i="2"/>
  <c r="D105" i="2"/>
  <c r="AH104" i="2"/>
  <c r="AF104" i="2"/>
  <c r="AI104" i="2" s="1"/>
  <c r="AD104" i="2"/>
  <c r="N104" i="2"/>
  <c r="M104" i="2"/>
  <c r="D104" i="2"/>
  <c r="AF100" i="2"/>
  <c r="AI100" i="2" s="1"/>
  <c r="AH99" i="2"/>
  <c r="AH101" i="2"/>
  <c r="AF101" i="2"/>
  <c r="AI101" i="2" s="1"/>
  <c r="AI102" i="2"/>
  <c r="AI103" i="2"/>
  <c r="AD99" i="2"/>
  <c r="AD100" i="2"/>
  <c r="AD101" i="2"/>
  <c r="AD102" i="2"/>
  <c r="AD103" i="2"/>
  <c r="T75" i="2"/>
  <c r="D67" i="2"/>
  <c r="Z78" i="2"/>
  <c r="Z79" i="2"/>
  <c r="AF99" i="2"/>
  <c r="AI99" i="2" s="1"/>
  <c r="X120" i="2" l="1"/>
  <c r="W173" i="2"/>
  <c r="Y173" i="2" s="1"/>
  <c r="AJ173" i="2" s="1"/>
  <c r="AK173" i="2" s="1"/>
  <c r="W172" i="2"/>
  <c r="K12" i="11"/>
  <c r="J18" i="11"/>
  <c r="K18" i="11" s="1"/>
  <c r="X130" i="2"/>
  <c r="Z130" i="2" s="1"/>
  <c r="AK130" i="2" s="1"/>
  <c r="AL130" i="2" s="1"/>
  <c r="X131" i="2"/>
  <c r="Z131" i="2" s="1"/>
  <c r="AK131" i="2" s="1"/>
  <c r="AL131" i="2" s="1"/>
  <c r="AD177" i="2"/>
  <c r="AH177" i="2"/>
  <c r="N177" i="2"/>
  <c r="M177" i="2"/>
  <c r="AF177" i="2"/>
  <c r="AI177" i="2"/>
  <c r="AH115" i="2"/>
  <c r="AK115" i="2"/>
  <c r="AL115" i="2" s="1"/>
  <c r="AH116" i="2"/>
  <c r="AK116" i="2"/>
  <c r="AL116" i="2" s="1"/>
  <c r="X124" i="2"/>
  <c r="X123" i="2"/>
  <c r="X122" i="2"/>
  <c r="X121" i="2"/>
  <c r="X119" i="2"/>
  <c r="Z119" i="2" s="1"/>
  <c r="AK119" i="2" s="1"/>
  <c r="AL119" i="2" s="1"/>
  <c r="X118" i="2"/>
  <c r="X117" i="2"/>
  <c r="X116" i="2"/>
  <c r="X115" i="2"/>
  <c r="X111" i="2"/>
  <c r="Z111" i="2" s="1"/>
  <c r="AK111" i="2" s="1"/>
  <c r="AL111" i="2" s="1"/>
  <c r="AM111" i="2" s="1"/>
  <c r="X109" i="2"/>
  <c r="AH114" i="2"/>
  <c r="AH110" i="2"/>
  <c r="AH109" i="2"/>
  <c r="AK117" i="2"/>
  <c r="AL117" i="2" s="1"/>
  <c r="AH117" i="2"/>
  <c r="X107" i="2"/>
  <c r="Z107" i="2" s="1"/>
  <c r="AK107" i="2" s="1"/>
  <c r="AL107" i="2" s="1"/>
  <c r="AM107" i="2" s="1"/>
  <c r="X125" i="2"/>
  <c r="X112" i="2"/>
  <c r="Z112" i="2" s="1"/>
  <c r="AK112" i="2" s="1"/>
  <c r="AL112" i="2" s="1"/>
  <c r="AM112" i="2" s="1"/>
  <c r="X108" i="2"/>
  <c r="Z108" i="2" s="1"/>
  <c r="AK108" i="2" s="1"/>
  <c r="AL108" i="2" s="1"/>
  <c r="AM108" i="2" s="1"/>
  <c r="X106" i="2"/>
  <c r="Z106" i="2" s="1"/>
  <c r="AK106" i="2" s="1"/>
  <c r="AL106" i="2" s="1"/>
  <c r="AM106" i="2" s="1"/>
  <c r="X105" i="2"/>
  <c r="Z105" i="2" s="1"/>
  <c r="AK105" i="2" s="1"/>
  <c r="AL105" i="2" s="1"/>
  <c r="AM105" i="2" s="1"/>
  <c r="X104" i="2"/>
  <c r="Z104" i="2" s="1"/>
  <c r="AK104" i="2" s="1"/>
  <c r="AL104" i="2" s="1"/>
  <c r="AM104" i="2" s="1"/>
  <c r="X113" i="2"/>
  <c r="Z113" i="2" s="1"/>
  <c r="AK113" i="2" s="1"/>
  <c r="AL113" i="2" s="1"/>
  <c r="AM113" i="2" s="1"/>
  <c r="X114" i="2"/>
  <c r="Z114" i="2" s="1"/>
  <c r="AK114" i="2" s="1"/>
  <c r="AL114" i="2" s="1"/>
  <c r="AM114" i="2" s="1"/>
  <c r="X110" i="2"/>
  <c r="Z110" i="2" s="1"/>
  <c r="AK110" i="2" s="1"/>
  <c r="AL110" i="2" s="1"/>
  <c r="AM110" i="2" s="1"/>
  <c r="K18" i="10"/>
  <c r="P72" i="2"/>
  <c r="Y172" i="2" l="1"/>
  <c r="AJ172" i="2" s="1"/>
  <c r="AK172" i="2" s="1"/>
  <c r="AL172" i="2" s="1"/>
  <c r="X177" i="2"/>
  <c r="AL173" i="2"/>
  <c r="AL177" i="2"/>
  <c r="Z109" i="2"/>
  <c r="AK109" i="2" s="1"/>
  <c r="AL109" i="2" s="1"/>
  <c r="AM109" i="2" s="1"/>
  <c r="Z76" i="2"/>
  <c r="M100" i="2"/>
  <c r="M101" i="2"/>
  <c r="M103" i="2"/>
  <c r="N103" i="2"/>
  <c r="N102" i="2"/>
  <c r="D99" i="2"/>
  <c r="D100" i="2"/>
  <c r="D101" i="2"/>
  <c r="D102" i="2"/>
  <c r="D103" i="2"/>
  <c r="X102" i="2" l="1"/>
  <c r="Z102" i="2" s="1"/>
  <c r="AK102" i="2" s="1"/>
  <c r="AL102" i="2" s="1"/>
  <c r="AM102" i="2" s="1"/>
  <c r="X103" i="2"/>
  <c r="Z103" i="2" s="1"/>
  <c r="AK103" i="2" s="1"/>
  <c r="AL103" i="2" s="1"/>
  <c r="AM103" i="2" s="1"/>
  <c r="N101" i="2"/>
  <c r="X101" i="2" s="1"/>
  <c r="Z101" i="2" s="1"/>
  <c r="AK101" i="2" s="1"/>
  <c r="AL101" i="2" s="1"/>
  <c r="AM101" i="2" s="1"/>
  <c r="N100" i="2"/>
  <c r="X100" i="2" s="1"/>
  <c r="Z100" i="2" s="1"/>
  <c r="M99" i="2" l="1"/>
  <c r="N99" i="2"/>
  <c r="D62" i="2"/>
  <c r="AW83" i="2"/>
  <c r="AF95" i="2"/>
  <c r="AI95" i="2" s="1"/>
  <c r="AF96" i="2"/>
  <c r="AI96" i="2" s="1"/>
  <c r="AF97" i="2"/>
  <c r="AI97" i="2" s="1"/>
  <c r="AF98" i="2"/>
  <c r="AI98" i="2" s="1"/>
  <c r="AF92" i="2"/>
  <c r="AI92" i="2" s="1"/>
  <c r="AR32" i="2"/>
  <c r="AF94" i="2"/>
  <c r="AI94" i="2" s="1"/>
  <c r="AF93" i="2"/>
  <c r="AI93" i="2" s="1"/>
  <c r="T94" i="2"/>
  <c r="T93" i="2"/>
  <c r="AJ81" i="2"/>
  <c r="AJ72" i="2"/>
  <c r="AJ71" i="2"/>
  <c r="AK71" i="2" s="1"/>
  <c r="R58" i="2"/>
  <c r="AX40" i="2"/>
  <c r="AU83" i="2"/>
  <c r="AD83" i="2"/>
  <c r="AI167" i="2" l="1"/>
  <c r="X99" i="2"/>
  <c r="Z99" i="2" s="1"/>
  <c r="AK99" i="2" s="1"/>
  <c r="AL99" i="2" s="1"/>
  <c r="AM99" i="2" s="1"/>
  <c r="D81" i="2"/>
  <c r="P74" i="2"/>
  <c r="Z74" i="2" s="1"/>
  <c r="D93" i="2"/>
  <c r="D94" i="2"/>
  <c r="D95" i="2"/>
  <c r="D96" i="2"/>
  <c r="D97" i="2"/>
  <c r="D98" i="2"/>
  <c r="D92" i="2"/>
  <c r="M98" i="2"/>
  <c r="AD98" i="2"/>
  <c r="N98" i="2"/>
  <c r="M97" i="2"/>
  <c r="AD97" i="2"/>
  <c r="N97" i="2"/>
  <c r="AD94" i="2"/>
  <c r="AD95" i="2"/>
  <c r="AD96" i="2"/>
  <c r="AD93" i="2"/>
  <c r="AC167" i="2"/>
  <c r="Q167" i="2"/>
  <c r="K167" i="2"/>
  <c r="N96" i="2"/>
  <c r="M96" i="2"/>
  <c r="X98" i="2" l="1"/>
  <c r="Z98" i="2" s="1"/>
  <c r="AK98" i="2" s="1"/>
  <c r="AL98" i="2" s="1"/>
  <c r="AM98" i="2" s="1"/>
  <c r="X97" i="2"/>
  <c r="Z97" i="2" s="1"/>
  <c r="AK97" i="2" s="1"/>
  <c r="AL97" i="2" s="1"/>
  <c r="AM97" i="2" s="1"/>
  <c r="X96" i="2"/>
  <c r="Z96" i="2" s="1"/>
  <c r="AK96" i="2" s="1"/>
  <c r="AL96" i="2" s="1"/>
  <c r="AM96" i="2" s="1"/>
  <c r="P22" i="2"/>
  <c r="T22" i="2" s="1"/>
  <c r="P23" i="2"/>
  <c r="Z23" i="2" s="1"/>
  <c r="AR24" i="2"/>
  <c r="AV24" i="2" s="1"/>
  <c r="AR25" i="2"/>
  <c r="AR81" i="2"/>
  <c r="AV81" i="2" s="1"/>
  <c r="AR80" i="2"/>
  <c r="AV80" i="2" s="1"/>
  <c r="X79" i="2"/>
  <c r="AR79" i="2"/>
  <c r="AV79" i="2" s="1"/>
  <c r="AR78" i="2"/>
  <c r="AV78" i="2" s="1"/>
  <c r="AR77" i="2"/>
  <c r="AV77" i="2" s="1"/>
  <c r="AR76" i="2"/>
  <c r="AV76" i="2" s="1"/>
  <c r="R75" i="2"/>
  <c r="AR75" i="2"/>
  <c r="R74" i="2"/>
  <c r="P73" i="2"/>
  <c r="AR73" i="2" s="1"/>
  <c r="AV73" i="2" s="1"/>
  <c r="AR71" i="2"/>
  <c r="AV71" i="2" s="1"/>
  <c r="R70" i="2"/>
  <c r="AR70" i="2"/>
  <c r="AV70" i="2" s="1"/>
  <c r="P69" i="2"/>
  <c r="R69" i="2" s="1"/>
  <c r="AR68" i="2"/>
  <c r="P67" i="2"/>
  <c r="AR66" i="2"/>
  <c r="AV66" i="2" s="1"/>
  <c r="AR65" i="2"/>
  <c r="AV65" i="2" s="1"/>
  <c r="AR63" i="2"/>
  <c r="AV63" i="2" s="1"/>
  <c r="AR62" i="2"/>
  <c r="AV62" i="2" s="1"/>
  <c r="AR61" i="2"/>
  <c r="AV61" i="2" s="1"/>
  <c r="AR60" i="2"/>
  <c r="AR59" i="2"/>
  <c r="AV59" i="2" s="1"/>
  <c r="AR58" i="2"/>
  <c r="AV58" i="2" s="1"/>
  <c r="AR57" i="2"/>
  <c r="AV57" i="2" s="1"/>
  <c r="AR56" i="2"/>
  <c r="AV56" i="2" s="1"/>
  <c r="AR55" i="2"/>
  <c r="AR54" i="2"/>
  <c r="AV54" i="2" s="1"/>
  <c r="AR53" i="2"/>
  <c r="AV53" i="2" s="1"/>
  <c r="AR52" i="2"/>
  <c r="AV52" i="2" s="1"/>
  <c r="AR51" i="2"/>
  <c r="AV51" i="2" s="1"/>
  <c r="AR50" i="2"/>
  <c r="AV50" i="2" s="1"/>
  <c r="AR49" i="2"/>
  <c r="AV49" i="2" s="1"/>
  <c r="AR48" i="2"/>
  <c r="AV48" i="2" s="1"/>
  <c r="AV47" i="2"/>
  <c r="P46" i="2"/>
  <c r="T46" i="2" s="1"/>
  <c r="P45" i="2"/>
  <c r="AR45" i="2" s="1"/>
  <c r="AR44" i="2"/>
  <c r="AR43" i="2"/>
  <c r="AV43" i="2" s="1"/>
  <c r="AR42" i="2"/>
  <c r="AV42" i="2" s="1"/>
  <c r="AR41" i="2"/>
  <c r="AV41" i="2" s="1"/>
  <c r="P40" i="2"/>
  <c r="W40" i="2" s="1"/>
  <c r="AR39" i="2"/>
  <c r="AV39" i="2" s="1"/>
  <c r="AR38" i="2"/>
  <c r="AV38" i="2" s="1"/>
  <c r="AR37" i="2"/>
  <c r="AV37" i="2" s="1"/>
  <c r="P36" i="2"/>
  <c r="W36" i="2" s="1"/>
  <c r="AR35" i="2"/>
  <c r="AV35" i="2" s="1"/>
  <c r="AR34" i="2"/>
  <c r="AV34" i="2" s="1"/>
  <c r="AR33" i="2"/>
  <c r="AV33" i="2" s="1"/>
  <c r="AR31" i="2"/>
  <c r="AV31" i="2" s="1"/>
  <c r="AR30" i="2"/>
  <c r="AV30" i="2" s="1"/>
  <c r="AR29" i="2"/>
  <c r="AV29" i="2" s="1"/>
  <c r="AR28" i="2"/>
  <c r="AV28" i="2" s="1"/>
  <c r="AR27" i="2"/>
  <c r="AV27" i="2" s="1"/>
  <c r="P26" i="2"/>
  <c r="AR26" i="2"/>
  <c r="R65" i="2"/>
  <c r="T65" i="2"/>
  <c r="W65" i="2"/>
  <c r="Y65" i="2"/>
  <c r="R59" i="2"/>
  <c r="T59" i="2"/>
  <c r="W59" i="2"/>
  <c r="Y59" i="2"/>
  <c r="AJ79" i="2"/>
  <c r="AX79" i="2"/>
  <c r="D79" i="2"/>
  <c r="X78" i="2"/>
  <c r="X77" i="2"/>
  <c r="X76" i="2"/>
  <c r="N92" i="2"/>
  <c r="M92" i="2"/>
  <c r="N93" i="2"/>
  <c r="M93" i="2"/>
  <c r="N94" i="2"/>
  <c r="M94" i="2"/>
  <c r="N95" i="2"/>
  <c r="M95" i="2"/>
  <c r="T167" i="2"/>
  <c r="Z167" i="2"/>
  <c r="AD92" i="2"/>
  <c r="AD167" i="2" s="1"/>
  <c r="R24" i="2"/>
  <c r="R25" i="2"/>
  <c r="R81" i="2"/>
  <c r="R80" i="2"/>
  <c r="R78" i="2"/>
  <c r="R77" i="2"/>
  <c r="R76" i="2"/>
  <c r="R68" i="2"/>
  <c r="R66" i="2"/>
  <c r="R64" i="2"/>
  <c r="R63" i="2"/>
  <c r="R62" i="2"/>
  <c r="R61" i="2"/>
  <c r="R60" i="2"/>
  <c r="R57" i="2"/>
  <c r="R56" i="2"/>
  <c r="R55" i="2"/>
  <c r="R54" i="2"/>
  <c r="R53" i="2"/>
  <c r="R52" i="2"/>
  <c r="R51" i="2"/>
  <c r="R50" i="2"/>
  <c r="R49" i="2"/>
  <c r="R48" i="2"/>
  <c r="R47" i="2"/>
  <c r="R44" i="2"/>
  <c r="R43" i="2"/>
  <c r="R42" i="2"/>
  <c r="R41" i="2"/>
  <c r="R39" i="2"/>
  <c r="R38" i="2"/>
  <c r="R37" i="2"/>
  <c r="R35" i="2"/>
  <c r="R34" i="2"/>
  <c r="R33" i="2"/>
  <c r="R32" i="2"/>
  <c r="R31" i="2"/>
  <c r="R30" i="2"/>
  <c r="R29" i="2"/>
  <c r="R28" i="2"/>
  <c r="D70" i="2"/>
  <c r="D71" i="2"/>
  <c r="D72" i="2"/>
  <c r="AJ67" i="2"/>
  <c r="AK67" i="2" s="1"/>
  <c r="AJ68" i="2"/>
  <c r="AJ69" i="2"/>
  <c r="AJ70" i="2"/>
  <c r="Y70" i="2"/>
  <c r="D77" i="2"/>
  <c r="AX77" i="2"/>
  <c r="AJ77" i="2"/>
  <c r="AX70" i="2"/>
  <c r="AX71" i="2"/>
  <c r="AX72" i="2"/>
  <c r="AQ5" i="2"/>
  <c r="AU5" i="2" s="1"/>
  <c r="AQ4" i="2"/>
  <c r="AU4" i="2" s="1"/>
  <c r="T70" i="2"/>
  <c r="AJ73" i="2"/>
  <c r="AK73" i="2" s="1"/>
  <c r="AJ74" i="2"/>
  <c r="AJ75" i="2"/>
  <c r="AJ76" i="2"/>
  <c r="AJ78" i="2"/>
  <c r="D68" i="2"/>
  <c r="D69" i="2"/>
  <c r="D73" i="2"/>
  <c r="D74" i="2"/>
  <c r="D75" i="2"/>
  <c r="D76" i="2"/>
  <c r="Y68" i="2"/>
  <c r="T68" i="2"/>
  <c r="AX67" i="2"/>
  <c r="AX68" i="2"/>
  <c r="AX69" i="2"/>
  <c r="AX73" i="2"/>
  <c r="AX74" i="2"/>
  <c r="AX75" i="2"/>
  <c r="AX76" i="2"/>
  <c r="W5" i="2"/>
  <c r="AJ49" i="2"/>
  <c r="AJ51" i="2"/>
  <c r="W167" i="2"/>
  <c r="T76" i="2"/>
  <c r="T77" i="2"/>
  <c r="AJ66" i="2"/>
  <c r="Y66" i="2"/>
  <c r="W66" i="2"/>
  <c r="T66" i="2"/>
  <c r="AX51" i="2"/>
  <c r="Y51" i="2"/>
  <c r="T51" i="2"/>
  <c r="D51" i="2"/>
  <c r="Y25" i="2"/>
  <c r="T56" i="2"/>
  <c r="Y56" i="2"/>
  <c r="AJ63" i="2"/>
  <c r="Y47" i="2"/>
  <c r="W63" i="2"/>
  <c r="T64" i="2"/>
  <c r="T63" i="2"/>
  <c r="AX78" i="2"/>
  <c r="AX80" i="2"/>
  <c r="AX81" i="2"/>
  <c r="AX63" i="2"/>
  <c r="AX64" i="2"/>
  <c r="AX65" i="2"/>
  <c r="AX66" i="2"/>
  <c r="AX61" i="2"/>
  <c r="AX62" i="2"/>
  <c r="Y62" i="2"/>
  <c r="W62" i="2"/>
  <c r="T62" i="2"/>
  <c r="Z61" i="2"/>
  <c r="T61" i="2"/>
  <c r="Y43" i="2"/>
  <c r="Z44" i="2"/>
  <c r="D23" i="2"/>
  <c r="W58" i="2"/>
  <c r="AJ60" i="2"/>
  <c r="T60" i="2"/>
  <c r="AX58" i="2"/>
  <c r="AX59" i="2"/>
  <c r="AX60" i="2"/>
  <c r="AX57" i="2"/>
  <c r="T58" i="2"/>
  <c r="AJ62" i="2"/>
  <c r="D63" i="2"/>
  <c r="D64" i="2"/>
  <c r="Y64" i="2"/>
  <c r="AJ64" i="2"/>
  <c r="D65" i="2"/>
  <c r="AJ65" i="2"/>
  <c r="D61" i="2"/>
  <c r="AJ61" i="2"/>
  <c r="D66" i="2"/>
  <c r="AX56" i="2"/>
  <c r="AJ55" i="2"/>
  <c r="AK55" i="2" s="1"/>
  <c r="AJ56" i="2"/>
  <c r="D56" i="2"/>
  <c r="D55" i="2"/>
  <c r="AX55" i="2"/>
  <c r="T55" i="2"/>
  <c r="Y55" i="2"/>
  <c r="T54" i="2"/>
  <c r="Y57" i="2"/>
  <c r="T57" i="2"/>
  <c r="AX52" i="2"/>
  <c r="AX53" i="2"/>
  <c r="AX54" i="2"/>
  <c r="AX50" i="2"/>
  <c r="AJ53" i="2"/>
  <c r="AJ54" i="2"/>
  <c r="AJ57" i="2"/>
  <c r="D53" i="2"/>
  <c r="D54" i="2"/>
  <c r="D57" i="2"/>
  <c r="D58" i="2"/>
  <c r="D59" i="2"/>
  <c r="D60" i="2"/>
  <c r="D78" i="2"/>
  <c r="Y54" i="2"/>
  <c r="Y53" i="2"/>
  <c r="T53" i="2"/>
  <c r="AW5" i="2"/>
  <c r="AJ50" i="2"/>
  <c r="AJ52" i="2"/>
  <c r="Y52" i="2"/>
  <c r="T52" i="2"/>
  <c r="D52" i="2"/>
  <c r="E46" i="5"/>
  <c r="Z32" i="2"/>
  <c r="Y50" i="2"/>
  <c r="Y49" i="2"/>
  <c r="AJ48" i="2"/>
  <c r="D48" i="2"/>
  <c r="W6" i="2"/>
  <c r="W48" i="2"/>
  <c r="D49" i="2"/>
  <c r="D50" i="2"/>
  <c r="AJ46" i="2"/>
  <c r="D46" i="2"/>
  <c r="W47" i="2"/>
  <c r="Y48" i="2"/>
  <c r="T47" i="2"/>
  <c r="T48" i="2"/>
  <c r="T49" i="2"/>
  <c r="T50" i="2"/>
  <c r="D47" i="2"/>
  <c r="AJ47" i="2"/>
  <c r="AJ45" i="2"/>
  <c r="D45" i="2"/>
  <c r="D33" i="2"/>
  <c r="AX44" i="2"/>
  <c r="AJ44" i="2"/>
  <c r="T44" i="2"/>
  <c r="D44" i="2"/>
  <c r="AD14" i="2"/>
  <c r="D43" i="2"/>
  <c r="T42" i="2"/>
  <c r="T43" i="2"/>
  <c r="X9" i="2"/>
  <c r="Y42" i="2"/>
  <c r="W37" i="2"/>
  <c r="D42" i="2"/>
  <c r="AJ42" i="2"/>
  <c r="AJ43" i="2"/>
  <c r="AJ58" i="2"/>
  <c r="AJ59" i="2"/>
  <c r="AJ41" i="2"/>
  <c r="Y41" i="2"/>
  <c r="D41" i="2"/>
  <c r="AX49" i="2"/>
  <c r="AX45" i="2"/>
  <c r="AX43" i="2"/>
  <c r="AX46" i="2"/>
  <c r="AX48" i="2"/>
  <c r="AX47" i="2"/>
  <c r="AX42" i="2"/>
  <c r="T41" i="2"/>
  <c r="AJ40" i="2"/>
  <c r="D36" i="2"/>
  <c r="D35" i="2"/>
  <c r="D39" i="2"/>
  <c r="R8" i="2"/>
  <c r="Y33" i="2"/>
  <c r="AJ38" i="2"/>
  <c r="W38" i="2"/>
  <c r="Y38" i="2"/>
  <c r="T38" i="2"/>
  <c r="Y31" i="2"/>
  <c r="T31" i="2"/>
  <c r="W31" i="2"/>
  <c r="W30" i="2"/>
  <c r="AJ33" i="2"/>
  <c r="AJ34" i="2"/>
  <c r="AJ35" i="2"/>
  <c r="AJ36" i="2"/>
  <c r="AJ37" i="2"/>
  <c r="AJ39" i="2"/>
  <c r="AJ31" i="2"/>
  <c r="AJ30" i="2"/>
  <c r="D32" i="2"/>
  <c r="Y24" i="2"/>
  <c r="AJ29" i="2"/>
  <c r="Y30" i="2"/>
  <c r="T30" i="2"/>
  <c r="Q27" i="2"/>
  <c r="AJ32" i="2"/>
  <c r="X32" i="2"/>
  <c r="AX38" i="2"/>
  <c r="AX31" i="2"/>
  <c r="AX27" i="2"/>
  <c r="AX28" i="2"/>
  <c r="AX29" i="2"/>
  <c r="AX30" i="2"/>
  <c r="AX24" i="2"/>
  <c r="AX25" i="2"/>
  <c r="AJ80" i="2"/>
  <c r="AK80" i="2" s="1"/>
  <c r="X80" i="2"/>
  <c r="T34" i="2"/>
  <c r="Y34" i="2"/>
  <c r="T35" i="2"/>
  <c r="T37" i="2"/>
  <c r="Y37" i="2"/>
  <c r="T39" i="2"/>
  <c r="W39" i="2"/>
  <c r="Y39" i="2"/>
  <c r="T78" i="2"/>
  <c r="T80" i="2"/>
  <c r="Y80" i="2"/>
  <c r="T81" i="2"/>
  <c r="W81" i="2"/>
  <c r="Y81" i="2"/>
  <c r="D80" i="2"/>
  <c r="D9" i="2"/>
  <c r="D8" i="2"/>
  <c r="AJ28" i="2"/>
  <c r="AX41" i="2"/>
  <c r="AX34" i="2"/>
  <c r="AX39" i="2"/>
  <c r="AX36" i="2"/>
  <c r="AX35" i="2"/>
  <c r="AX37" i="2"/>
  <c r="Z27" i="2"/>
  <c r="AJ27" i="2"/>
  <c r="AX26" i="2"/>
  <c r="AJ24" i="2"/>
  <c r="AJ25" i="2"/>
  <c r="AJ26" i="2"/>
  <c r="D26" i="2"/>
  <c r="AJ23" i="2"/>
  <c r="Y6" i="2"/>
  <c r="Y7" i="2"/>
  <c r="Y5" i="2"/>
  <c r="Z8" i="2"/>
  <c r="AJ22" i="2"/>
  <c r="D22" i="2"/>
  <c r="T24" i="2"/>
  <c r="W24" i="2"/>
  <c r="T25" i="2"/>
  <c r="W25" i="2"/>
  <c r="T27" i="2"/>
  <c r="W27" i="2"/>
  <c r="T28" i="2"/>
  <c r="W28" i="2"/>
  <c r="Y28" i="2"/>
  <c r="T29" i="2"/>
  <c r="W29" i="2"/>
  <c r="Y29" i="2"/>
  <c r="T32" i="2"/>
  <c r="T33" i="2"/>
  <c r="AQ6" i="2"/>
  <c r="AU6" i="2" s="1"/>
  <c r="AQ7" i="2"/>
  <c r="AU7" i="2" s="1"/>
  <c r="AQ8" i="2"/>
  <c r="AQ9" i="2"/>
  <c r="AU9" i="2" s="1"/>
  <c r="AQ10" i="2"/>
  <c r="AT10" i="2"/>
  <c r="AU10" i="2" s="1"/>
  <c r="AI4" i="2"/>
  <c r="AJ4" i="2" s="1"/>
  <c r="AI5" i="2"/>
  <c r="AI6" i="2"/>
  <c r="AI7" i="2"/>
  <c r="AI8" i="2"/>
  <c r="AI9" i="2"/>
  <c r="AI10" i="2"/>
  <c r="AI11" i="2"/>
  <c r="AI3" i="2"/>
  <c r="Y10" i="2"/>
  <c r="R10" i="2"/>
  <c r="T10" i="2"/>
  <c r="W10" i="2"/>
  <c r="Y9" i="2"/>
  <c r="T9" i="2"/>
  <c r="W7" i="2"/>
  <c r="W8" i="2"/>
  <c r="T7" i="2"/>
  <c r="R7" i="2"/>
  <c r="T5" i="2"/>
  <c r="T6" i="2"/>
  <c r="T8" i="2"/>
  <c r="R5" i="2"/>
  <c r="R6" i="2"/>
  <c r="R4" i="2"/>
  <c r="T4" i="2"/>
  <c r="AW6" i="2"/>
  <c r="AX33" i="2"/>
  <c r="AW4" i="2"/>
  <c r="AX32" i="2"/>
  <c r="AW9" i="2"/>
  <c r="AW8" i="2"/>
  <c r="AX23" i="2"/>
  <c r="AW7" i="2"/>
  <c r="T11" i="2"/>
  <c r="Y11" i="2"/>
  <c r="AQ11" i="2"/>
  <c r="R11" i="2"/>
  <c r="W11" i="2"/>
  <c r="R9" i="2"/>
  <c r="AW11" i="2"/>
  <c r="AX22" i="2"/>
  <c r="P3" i="2"/>
  <c r="AQ3" i="2" s="1"/>
  <c r="AW3" i="2"/>
  <c r="AR23" i="2" l="1"/>
  <c r="AV23" i="2" s="1"/>
  <c r="AC34" i="2"/>
  <c r="AF34" i="2" s="1"/>
  <c r="AY34" i="2" s="1"/>
  <c r="BA34" i="2" s="1"/>
  <c r="R72" i="2"/>
  <c r="Z72" i="2"/>
  <c r="R67" i="2"/>
  <c r="X67" i="2"/>
  <c r="X94" i="2"/>
  <c r="Z94" i="2" s="1"/>
  <c r="AK94" i="2" s="1"/>
  <c r="AL94" i="2" s="1"/>
  <c r="AM94" i="2" s="1"/>
  <c r="T23" i="2"/>
  <c r="AR22" i="2"/>
  <c r="P83" i="2"/>
  <c r="AX83" i="2"/>
  <c r="T36" i="2"/>
  <c r="AR74" i="2"/>
  <c r="AV74" i="2" s="1"/>
  <c r="AT14" i="2"/>
  <c r="AR46" i="2"/>
  <c r="AV46" i="2" s="1"/>
  <c r="N167" i="2"/>
  <c r="AR69" i="2"/>
  <c r="AV69" i="2" s="1"/>
  <c r="Y69" i="2"/>
  <c r="T69" i="2"/>
  <c r="R23" i="2"/>
  <c r="R22" i="2"/>
  <c r="AR72" i="2"/>
  <c r="AV72" i="2" s="1"/>
  <c r="R36" i="2"/>
  <c r="AR40" i="2"/>
  <c r="AV40" i="2" s="1"/>
  <c r="Y36" i="2"/>
  <c r="T67" i="2"/>
  <c r="M167" i="2"/>
  <c r="M168" i="2" s="1"/>
  <c r="AR67" i="2"/>
  <c r="AV67" i="2" s="1"/>
  <c r="AC44" i="2"/>
  <c r="AF44" i="2" s="1"/>
  <c r="AY44" i="2" s="1"/>
  <c r="BA44" i="2" s="1"/>
  <c r="AC7" i="2"/>
  <c r="AY7" i="2" s="1"/>
  <c r="X92" i="2"/>
  <c r="AC27" i="2"/>
  <c r="AF27" i="2" s="1"/>
  <c r="AY27" i="2" s="1"/>
  <c r="BA27" i="2" s="1"/>
  <c r="AC63" i="2"/>
  <c r="AF63" i="2" s="1"/>
  <c r="AY63" i="2" s="1"/>
  <c r="BA63" i="2" s="1"/>
  <c r="P14" i="2"/>
  <c r="R3" i="2"/>
  <c r="T3" i="2"/>
  <c r="T14" i="2" s="1"/>
  <c r="AR36" i="2"/>
  <c r="AV36" i="2" s="1"/>
  <c r="X3" i="2"/>
  <c r="AC49" i="2"/>
  <c r="AF49" i="2" s="1"/>
  <c r="AY49" i="2" s="1"/>
  <c r="BA49" i="2" s="1"/>
  <c r="AC42" i="2"/>
  <c r="AF42" i="2" s="1"/>
  <c r="AY42" i="2" s="1"/>
  <c r="BA42" i="2" s="1"/>
  <c r="AC25" i="2"/>
  <c r="AF25" i="2" s="1"/>
  <c r="AY25" i="2" s="1"/>
  <c r="BA25" i="2" s="1"/>
  <c r="AC32" i="2"/>
  <c r="AF32" i="2" s="1"/>
  <c r="AY32" i="2" s="1"/>
  <c r="BA32" i="2" s="1"/>
  <c r="AC6" i="2"/>
  <c r="AE6" i="2" s="1"/>
  <c r="AX6" i="2" s="1"/>
  <c r="AZ6" i="2" s="1"/>
  <c r="AC5" i="2"/>
  <c r="AE5" i="2" s="1"/>
  <c r="AX5" i="2" s="1"/>
  <c r="AZ5" i="2" s="1"/>
  <c r="X95" i="2"/>
  <c r="AC11" i="2"/>
  <c r="AE11" i="2" s="1"/>
  <c r="AX11" i="2" s="1"/>
  <c r="AZ11" i="2" s="1"/>
  <c r="AC59" i="2"/>
  <c r="AF59" i="2" s="1"/>
  <c r="AC43" i="2"/>
  <c r="AF43" i="2" s="1"/>
  <c r="AC81" i="2"/>
  <c r="AF81" i="2" s="1"/>
  <c r="AY81" i="2" s="1"/>
  <c r="BA81" i="2" s="1"/>
  <c r="AC8" i="2"/>
  <c r="AE8" i="2" s="1"/>
  <c r="AX8" i="2" s="1"/>
  <c r="AZ8" i="2" s="1"/>
  <c r="T40" i="2"/>
  <c r="AC54" i="2"/>
  <c r="AF54" i="2" s="1"/>
  <c r="AY54" i="2" s="1"/>
  <c r="BA54" i="2" s="1"/>
  <c r="AC55" i="2"/>
  <c r="AF55" i="2" s="1"/>
  <c r="AY55" i="2" s="1"/>
  <c r="BA55" i="2" s="1"/>
  <c r="AC33" i="2"/>
  <c r="AF33" i="2" s="1"/>
  <c r="AY33" i="2" s="1"/>
  <c r="BA33" i="2" s="1"/>
  <c r="AC56" i="2"/>
  <c r="AF56" i="2" s="1"/>
  <c r="AY56" i="2" s="1"/>
  <c r="BA56" i="2" s="1"/>
  <c r="AC60" i="2"/>
  <c r="AF60" i="2" s="1"/>
  <c r="AY60" i="2" s="1"/>
  <c r="BA60" i="2" s="1"/>
  <c r="AC37" i="2"/>
  <c r="AZ37" i="2" s="1"/>
  <c r="AW10" i="2"/>
  <c r="AW14" i="2" s="1"/>
  <c r="AC10" i="2"/>
  <c r="AY10" i="2" s="1"/>
  <c r="AC68" i="2"/>
  <c r="AF68" i="2" s="1"/>
  <c r="AY68" i="2" s="1"/>
  <c r="BA68" i="2" s="1"/>
  <c r="AC66" i="2"/>
  <c r="AF66" i="2" s="1"/>
  <c r="AY66" i="2" s="1"/>
  <c r="BA66" i="2" s="1"/>
  <c r="AC53" i="2"/>
  <c r="AZ53" i="2" s="1"/>
  <c r="X93" i="2"/>
  <c r="R71" i="2"/>
  <c r="AC76" i="2"/>
  <c r="AF76" i="2" s="1"/>
  <c r="AY76" i="2" s="1"/>
  <c r="BA76" i="2" s="1"/>
  <c r="W14" i="2"/>
  <c r="W15" i="2" s="1"/>
  <c r="Y71" i="2"/>
  <c r="AC57" i="2"/>
  <c r="AF57" i="2" s="1"/>
  <c r="AY57" i="2" s="1"/>
  <c r="BA57" i="2" s="1"/>
  <c r="Y14" i="2"/>
  <c r="Y15" i="2" s="1"/>
  <c r="AV55" i="2"/>
  <c r="R40" i="2"/>
  <c r="T72" i="2"/>
  <c r="AC48" i="2"/>
  <c r="AF48" i="2" s="1"/>
  <c r="AY48" i="2" s="1"/>
  <c r="BA48" i="2" s="1"/>
  <c r="AC47" i="2"/>
  <c r="AF47" i="2" s="1"/>
  <c r="AY47" i="2" s="1"/>
  <c r="BA47" i="2" s="1"/>
  <c r="AC50" i="2"/>
  <c r="AZ50" i="2" s="1"/>
  <c r="AC77" i="2"/>
  <c r="AF77" i="2" s="1"/>
  <c r="AY77" i="2" s="1"/>
  <c r="BA77" i="2" s="1"/>
  <c r="AC39" i="2"/>
  <c r="AF39" i="2" s="1"/>
  <c r="AY39" i="2" s="1"/>
  <c r="BA39" i="2" s="1"/>
  <c r="AC28" i="2"/>
  <c r="AF28" i="2" s="1"/>
  <c r="AY28" i="2" s="1"/>
  <c r="BA28" i="2" s="1"/>
  <c r="AC9" i="2"/>
  <c r="AE9" i="2" s="1"/>
  <c r="AX9" i="2" s="1"/>
  <c r="AZ9" i="2" s="1"/>
  <c r="AU8" i="2"/>
  <c r="AC29" i="2"/>
  <c r="AF29" i="2" s="1"/>
  <c r="AY29" i="2" s="1"/>
  <c r="BA29" i="2" s="1"/>
  <c r="AC51" i="2"/>
  <c r="AF51" i="2" s="1"/>
  <c r="AY51" i="2" s="1"/>
  <c r="BA51" i="2" s="1"/>
  <c r="AC78" i="2"/>
  <c r="AF78" i="2" s="1"/>
  <c r="AY78" i="2" s="1"/>
  <c r="BA78" i="2" s="1"/>
  <c r="T71" i="2"/>
  <c r="Y40" i="2"/>
  <c r="AC24" i="2"/>
  <c r="AZ24" i="2" s="1"/>
  <c r="AC30" i="2"/>
  <c r="AZ30" i="2" s="1"/>
  <c r="AC52" i="2"/>
  <c r="AF52" i="2" s="1"/>
  <c r="AY52" i="2" s="1"/>
  <c r="BA52" i="2" s="1"/>
  <c r="AC80" i="2"/>
  <c r="AF80" i="2" s="1"/>
  <c r="AY80" i="2" s="1"/>
  <c r="BA80" i="2" s="1"/>
  <c r="AU3" i="2"/>
  <c r="AQ14" i="2"/>
  <c r="AV68" i="2"/>
  <c r="R26" i="2"/>
  <c r="Z26" i="2"/>
  <c r="R45" i="2"/>
  <c r="Z45" i="2"/>
  <c r="T45" i="2"/>
  <c r="AC41" i="2"/>
  <c r="AF41" i="2" s="1"/>
  <c r="AY41" i="2" s="1"/>
  <c r="BA41" i="2" s="1"/>
  <c r="AV32" i="2"/>
  <c r="T79" i="2"/>
  <c r="X26" i="2"/>
  <c r="AV44" i="2"/>
  <c r="R79" i="2"/>
  <c r="AV64" i="2"/>
  <c r="AC61" i="2"/>
  <c r="AF61" i="2" s="1"/>
  <c r="AY61" i="2" s="1"/>
  <c r="BA61" i="2" s="1"/>
  <c r="AC65" i="2"/>
  <c r="AF65" i="2" s="1"/>
  <c r="AY65" i="2" s="1"/>
  <c r="BA65" i="2" s="1"/>
  <c r="AV60" i="2"/>
  <c r="AV26" i="2"/>
  <c r="AC38" i="2"/>
  <c r="Z46" i="2"/>
  <c r="R46" i="2"/>
  <c r="AC46" i="2" s="1"/>
  <c r="AF46" i="2" s="1"/>
  <c r="AY46" i="2" s="1"/>
  <c r="BA46" i="2" s="1"/>
  <c r="AC64" i="2"/>
  <c r="AF64" i="2" s="1"/>
  <c r="AY64" i="2" s="1"/>
  <c r="BA64" i="2" s="1"/>
  <c r="T26" i="2"/>
  <c r="AV45" i="2"/>
  <c r="R73" i="2"/>
  <c r="AC70" i="2"/>
  <c r="AF70" i="2" s="1"/>
  <c r="AY70" i="2" s="1"/>
  <c r="BA70" i="2" s="1"/>
  <c r="AC31" i="2"/>
  <c r="AF31" i="2" s="1"/>
  <c r="AY31" i="2" s="1"/>
  <c r="BA31" i="2" s="1"/>
  <c r="Y73" i="2"/>
  <c r="T74" i="2"/>
  <c r="AC35" i="2"/>
  <c r="AF35" i="2" s="1"/>
  <c r="AY35" i="2" s="1"/>
  <c r="BA35" i="2" s="1"/>
  <c r="AC58" i="2"/>
  <c r="AC4" i="2"/>
  <c r="AE4" i="2" s="1"/>
  <c r="AX4" i="2" s="1"/>
  <c r="AZ4" i="2" s="1"/>
  <c r="AC62" i="2"/>
  <c r="AF62" i="2" s="1"/>
  <c r="AY62" i="2" s="1"/>
  <c r="BA62" i="2" s="1"/>
  <c r="T73" i="2"/>
  <c r="AU11" i="2"/>
  <c r="Y67" i="2"/>
  <c r="AV25" i="2"/>
  <c r="Y75" i="2"/>
  <c r="AV75" i="2"/>
  <c r="AC23" i="2" l="1"/>
  <c r="AF23" i="2" s="1"/>
  <c r="AY23" i="2" s="1"/>
  <c r="BA23" i="2" s="1"/>
  <c r="AC69" i="2"/>
  <c r="AF69" i="2" s="1"/>
  <c r="AY69" i="2" s="1"/>
  <c r="BA69" i="2" s="1"/>
  <c r="AY43" i="2"/>
  <c r="BA43" i="2" s="1"/>
  <c r="AY59" i="2"/>
  <c r="BA59" i="2" s="1"/>
  <c r="AZ43" i="2"/>
  <c r="T83" i="2"/>
  <c r="T84" i="2" s="1"/>
  <c r="N168" i="2" s="1"/>
  <c r="W83" i="2"/>
  <c r="W84" i="2" s="1"/>
  <c r="Z95" i="2"/>
  <c r="AK95" i="2" s="1"/>
  <c r="AL95" i="2" s="1"/>
  <c r="AM95" i="2" s="1"/>
  <c r="AC22" i="2"/>
  <c r="AF22" i="2" s="1"/>
  <c r="AY22" i="2" s="1"/>
  <c r="BA22" i="2" s="1"/>
  <c r="R83" i="2"/>
  <c r="R84" i="2" s="1" a="1"/>
  <c r="AV22" i="2"/>
  <c r="AV83" i="2" s="1"/>
  <c r="AR83" i="2"/>
  <c r="AC36" i="2"/>
  <c r="AZ36" i="2" s="1"/>
  <c r="AZ34" i="2"/>
  <c r="AZ81" i="2"/>
  <c r="AZ44" i="2"/>
  <c r="AC3" i="2"/>
  <c r="AY3" i="2" s="1"/>
  <c r="Z92" i="2"/>
  <c r="AK92" i="2" s="1"/>
  <c r="AL92" i="2" s="1"/>
  <c r="AM92" i="2" s="1"/>
  <c r="X167" i="2"/>
  <c r="AE7" i="2"/>
  <c r="AX7" i="2" s="1"/>
  <c r="AZ7" i="2" s="1"/>
  <c r="AZ49" i="2"/>
  <c r="AZ42" i="2"/>
  <c r="R14" i="2"/>
  <c r="R15" i="2" s="1"/>
  <c r="AZ32" i="2"/>
  <c r="AZ63" i="2"/>
  <c r="AC74" i="2"/>
  <c r="AF74" i="2" s="1"/>
  <c r="AY74" i="2" s="1"/>
  <c r="BA74" i="2" s="1"/>
  <c r="AY5" i="2"/>
  <c r="AY6" i="2"/>
  <c r="AZ27" i="2"/>
  <c r="AE10" i="2"/>
  <c r="AX10" i="2" s="1"/>
  <c r="AZ10" i="2" s="1"/>
  <c r="AZ25" i="2"/>
  <c r="Z93" i="2"/>
  <c r="AK93" i="2" s="1"/>
  <c r="AL93" i="2" s="1"/>
  <c r="AM93" i="2" s="1"/>
  <c r="AZ66" i="2"/>
  <c r="AZ77" i="2"/>
  <c r="AZ80" i="2"/>
  <c r="AZ39" i="2"/>
  <c r="AY11" i="2"/>
  <c r="AF37" i="2"/>
  <c r="AY37" i="2" s="1"/>
  <c r="BA37" i="2" s="1"/>
  <c r="AZ59" i="2"/>
  <c r="AZ68" i="2"/>
  <c r="AY8" i="2"/>
  <c r="AZ28" i="2"/>
  <c r="AC71" i="2"/>
  <c r="AF71" i="2" s="1"/>
  <c r="AY71" i="2" s="1"/>
  <c r="BA71" i="2" s="1"/>
  <c r="AZ60" i="2"/>
  <c r="AZ56" i="2"/>
  <c r="AF53" i="2"/>
  <c r="AY53" i="2" s="1"/>
  <c r="BA53" i="2" s="1"/>
  <c r="AZ61" i="2"/>
  <c r="AZ54" i="2"/>
  <c r="AC79" i="2"/>
  <c r="AF79" i="2" s="1"/>
  <c r="AY79" i="2" s="1"/>
  <c r="BA79" i="2" s="1"/>
  <c r="AZ55" i="2"/>
  <c r="AZ52" i="2"/>
  <c r="AZ57" i="2"/>
  <c r="AZ33" i="2"/>
  <c r="AY9" i="2"/>
  <c r="AZ51" i="2"/>
  <c r="AC72" i="2"/>
  <c r="AZ72" i="2" s="1"/>
  <c r="AZ41" i="2"/>
  <c r="AC40" i="2"/>
  <c r="AU14" i="2"/>
  <c r="AZ76" i="2"/>
  <c r="AZ48" i="2"/>
  <c r="AZ47" i="2"/>
  <c r="AF30" i="2"/>
  <c r="AY30" i="2" s="1"/>
  <c r="BA30" i="2" s="1"/>
  <c r="AF50" i="2"/>
  <c r="AY50" i="2" s="1"/>
  <c r="BA50" i="2" s="1"/>
  <c r="AF24" i="2"/>
  <c r="AY24" i="2" s="1"/>
  <c r="BA24" i="2" s="1"/>
  <c r="AZ78" i="2"/>
  <c r="AC45" i="2"/>
  <c r="AF45" i="2" s="1"/>
  <c r="AY45" i="2" s="1"/>
  <c r="BA45" i="2" s="1"/>
  <c r="AZ29" i="2"/>
  <c r="AZ65" i="2"/>
  <c r="AC26" i="2"/>
  <c r="AZ38" i="2"/>
  <c r="AF38" i="2"/>
  <c r="AY38" i="2" s="1"/>
  <c r="BA38" i="2" s="1"/>
  <c r="AY4" i="2"/>
  <c r="AZ58" i="2"/>
  <c r="AF58" i="2"/>
  <c r="AY58" i="2" s="1"/>
  <c r="BA58" i="2" s="1"/>
  <c r="AZ64" i="2"/>
  <c r="AC73" i="2"/>
  <c r="AZ62" i="2"/>
  <c r="AC67" i="2"/>
  <c r="AZ31" i="2"/>
  <c r="AZ70" i="2"/>
  <c r="AZ46" i="2"/>
  <c r="AZ35" i="2"/>
  <c r="Y83" i="2"/>
  <c r="Y84" i="2" s="1"/>
  <c r="AC75" i="2"/>
  <c r="AZ69" i="2" l="1"/>
  <c r="AZ23" i="2"/>
  <c r="AZ22" i="2"/>
  <c r="AF36" i="2"/>
  <c r="AY36" i="2" s="1"/>
  <c r="BA36" i="2" s="1"/>
  <c r="AC83" i="2"/>
  <c r="AC84" i="2" s="1"/>
  <c r="AE3" i="2"/>
  <c r="AX3" i="2" s="1"/>
  <c r="AZ3" i="2" s="1"/>
  <c r="AZ74" i="2"/>
  <c r="AC14" i="2"/>
  <c r="AC15" i="2" s="1"/>
  <c r="AY14" i="2"/>
  <c r="AZ71" i="2"/>
  <c r="AF40" i="2"/>
  <c r="AY40" i="2" s="1"/>
  <c r="BA40" i="2" s="1"/>
  <c r="AZ40" i="2"/>
  <c r="AZ79" i="2"/>
  <c r="AF72" i="2"/>
  <c r="AY72" i="2" s="1"/>
  <c r="BA72" i="2" s="1"/>
  <c r="AZ45" i="2"/>
  <c r="AF73" i="2"/>
  <c r="AY73" i="2" s="1"/>
  <c r="BA73" i="2" s="1"/>
  <c r="AZ73" i="2"/>
  <c r="AF67" i="2"/>
  <c r="AY67" i="2" s="1"/>
  <c r="BA67" i="2" s="1"/>
  <c r="AZ67" i="2"/>
  <c r="AF26" i="2"/>
  <c r="AY26" i="2" s="1"/>
  <c r="BA26" i="2" s="1"/>
  <c r="AZ26" i="2"/>
  <c r="AZ75" i="2"/>
  <c r="AF75" i="2"/>
  <c r="AY75" i="2" s="1"/>
  <c r="BA75" i="2" s="1"/>
  <c r="AZ14" i="2" l="1"/>
  <c r="AZ83" i="2"/>
  <c r="BA83" i="2" s="1"/>
  <c r="AK100" i="2"/>
  <c r="AL100" i="2" s="1"/>
  <c r="AH100" i="2"/>
  <c r="AH167" i="2" s="1"/>
  <c r="AF167" i="2"/>
  <c r="AL167" i="2" l="1"/>
  <c r="AM10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Watts</author>
    <author>tc={EF50E6B5-EA4F-4AFB-99B4-E4AD0AB7332F}</author>
    <author>tc={74BB2C5D-E250-4272-A8D5-49A1A3865F13}</author>
    <author>Josh and Jeni Watts</author>
    <author>tc={4C7AFE25-B3B7-4BE5-B8F7-481F57C2DF35}</author>
    <author>tc={CFED1039-87AC-416C-8AA7-377DC5FEC783}</author>
    <author>tc={D8F93143-DD3B-4859-BE17-EAFAF80484D4}</author>
    <author>Kristen Barnes</author>
    <author>tc={2AE88532-B713-4441-B904-D3B094656D59}</author>
    <author>tc={59D2895B-D4DA-411F-8380-08E61C3E1590}</author>
  </authors>
  <commentList>
    <comment ref="AD3" authorId="0" shapeId="0" xr:uid="{63F18ECF-14AA-4482-B27F-7DDDEEE34508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$45 wire  for TB
$1.00 ACH for IM Logistics</t>
        </r>
      </text>
    </comment>
    <comment ref="Y23" authorId="0" shapeId="0" xr:uid="{B9304616-B954-4570-9719-62A2C73841B5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100.00 airport pick up
.06 LB x 750 for handling </t>
        </r>
      </text>
    </comment>
    <comment ref="AV27" authorId="0" shapeId="0" xr:uid="{757EB1A7-B9A2-4BD2-BFD5-8976A542574C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Double Paid 1011</t>
        </r>
      </text>
    </comment>
    <comment ref="AC28" authorId="1" shapeId="0" xr:uid="{EF50E6B5-EA4F-4AFB-99B4-E4AD0AB733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@Jenifer Watts  original invoice has 4 pallets.  Only 2 approved.  $174.00 total is approved </t>
      </text>
    </comment>
    <comment ref="V32" authorId="2" shapeId="0" xr:uid="{74BB2C5D-E250-4272-A8D5-49A1A3865F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@Kristen Barnes Asked multiple times.  Can’t come up with it.  </t>
      </text>
    </comment>
    <comment ref="Y32" authorId="3" shapeId="0" xr:uid="{CC4CE1C2-A8FD-4658-9EDD-0227CE506917}">
      <text>
        <r>
          <rPr>
            <b/>
            <sz val="9"/>
            <color indexed="81"/>
            <rFont val="Tahoma"/>
            <family val="2"/>
          </rPr>
          <t>Josh and Jeni Watts:</t>
        </r>
        <r>
          <rPr>
            <sz val="9"/>
            <color indexed="81"/>
            <rFont val="Tahoma"/>
            <family val="2"/>
          </rPr>
          <t xml:space="preserve">
CFI BOS - 124.00 - BO 444245
CFI SEA - 369.04</t>
        </r>
      </text>
    </comment>
    <comment ref="Z36" authorId="0" shapeId="0" xr:uid="{EBE8D708-D7D4-44DF-9D89-0AB558E2B02A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.08 LB airport pick up (100 min) 
.06 LB Cross dock</t>
        </r>
      </text>
    </comment>
    <comment ref="Z37" authorId="4" shapeId="0" xr:uid="{4C7AFE25-B3B7-4BE5-B8F7-481F57C2DF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@Jenifer Watts  approved to pay $150.00.  I am asking them to remove pallet charge as no extra pallets were needed.  2 in and 2 out. </t>
      </text>
    </comment>
    <comment ref="Y40" authorId="0" shapeId="0" xr:uid="{C07D2EE8-CC30-4FFE-ADAC-9F7C85F8FFB0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100 airport pick up
$0.06 LB to cross dock to BBX 
</t>
        </r>
      </text>
    </comment>
    <comment ref="AW43" authorId="0" shapeId="0" xr:uid="{D4A0F73E-9F77-48A5-A648-3638696728F8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Inputting error / Price</t>
        </r>
      </text>
    </comment>
    <comment ref="Y45" authorId="0" shapeId="0" xr:uid="{6E0FC8CC-F5AD-4221-98C1-204B91099EBD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Charges between CFIA &amp; CFIB are confirmed </t>
        </r>
      </text>
    </comment>
    <comment ref="Z49" authorId="5" shapeId="0" xr:uid="{CFED1039-87AC-416C-8AA7-377DC5FEC78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@Jenifer Watts 251.86 approved for payment.  Previous invoice has 3 more pallets than we are supposed to have been billed.</t>
      </text>
    </comment>
    <comment ref="AB53" authorId="6" shapeId="0" xr:uid="{D8F93143-DD3B-4859-BE17-EAFAF80484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@Jenifer Watts  only approving 174.00 as 2 pallets came in and 4 pallets went out.  Should only be charged for 2 pallets </t>
      </text>
    </comment>
    <comment ref="V58" authorId="3" shapeId="0" xr:uid="{51538FA1-B375-46C7-B256-5CAEC0CDC7BB}">
      <text>
        <r>
          <rPr>
            <b/>
            <sz val="9"/>
            <color indexed="81"/>
            <rFont val="Tahoma"/>
            <family val="2"/>
          </rPr>
          <t>Josh and Jeni Watts:</t>
        </r>
        <r>
          <rPr>
            <sz val="9"/>
            <color indexed="81"/>
            <rFont val="Tahoma"/>
            <family val="2"/>
          </rPr>
          <t xml:space="preserve">
I have invoice, however this is meant to pay another company, not PBX, so I need their information before we can issue payment.  Info requested.  8.19.2026 - JLW
</t>
        </r>
      </text>
    </comment>
    <comment ref="AW59" authorId="0" shapeId="0" xr:uid="{DF76F491-30D0-4443-AEFC-9207EF75436A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7 lb king broken up / agreed to a 3.55 lb credit - 50%
</t>
        </r>
      </text>
    </comment>
    <comment ref="Z74" authorId="7" shapeId="0" xr:uid="{B1FB15B6-3CB1-446B-9BF7-59B6409CFB75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CFI BOSTON-$160-$.016/LB
CFI ANC-$1022- $1.022</t>
        </r>
      </text>
    </comment>
    <comment ref="W80" authorId="0" shapeId="0" xr:uid="{5E7187F2-464A-4A19-A3C3-68870F87E26F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paid 3,500 already out of 8,500</t>
        </r>
      </text>
    </comment>
    <comment ref="M101" authorId="3" shapeId="0" xr:uid="{B68C4328-37A0-4912-811C-7DB1E476FB44}">
      <text>
        <r>
          <rPr>
            <b/>
            <sz val="9"/>
            <color indexed="81"/>
            <rFont val="Tahoma"/>
            <family val="2"/>
          </rPr>
          <t>Josh and Jeni Watts:</t>
        </r>
        <r>
          <rPr>
            <sz val="9"/>
            <color indexed="81"/>
            <rFont val="Tahoma"/>
            <family val="2"/>
          </rPr>
          <t xml:space="preserve">
CREDIT is $2,662.50
TOTAL TO PAY: $11,537.50
</t>
        </r>
      </text>
    </comment>
    <comment ref="AJ101" authorId="8" shapeId="0" xr:uid="{2AE88532-B713-4441-B904-D3B094656D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@Kristen Barnes @Jenifer Watts  approved by supplier</t>
      </text>
    </comment>
    <comment ref="K102" authorId="7" shapeId="0" xr:uid="{693708D4-75B7-49EE-ACAD-C29BDC97A436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short weight, within 1%- josh following up with patrick
</t>
        </r>
      </text>
    </comment>
    <comment ref="AJ104" authorId="7" shapeId="0" xr:uid="{C951AC3F-9E0E-4530-9F47-B907BA78F1CB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10.8 lbs at $6.50</t>
        </r>
      </text>
    </comment>
    <comment ref="M123" authorId="3" shapeId="0" xr:uid="{55F26816-4FE2-4995-9F7F-EBF1A0BDEC2F}">
      <text>
        <r>
          <rPr>
            <b/>
            <sz val="9"/>
            <color indexed="81"/>
            <rFont val="Tahoma"/>
            <family val="2"/>
          </rPr>
          <t>Josh and Jeni Watts:</t>
        </r>
        <r>
          <rPr>
            <sz val="9"/>
            <color indexed="81"/>
            <rFont val="Tahoma"/>
            <family val="2"/>
          </rPr>
          <t xml:space="preserve">
Invoice is for $12,084.34, invoiced at $12.05.
Credit sent for $100.28 to correct pricing which should be $11.95.  Total due is correct, credit and invoice entered into QB - JLW
</t>
        </r>
      </text>
    </comment>
    <comment ref="P127" authorId="9" shapeId="0" xr:uid="{59D2895B-D4DA-411F-8380-08E61C3E1590}">
      <text>
        <t>[Threaded comment]
Your version of Excel allows you to read this threaded comment; however, any edits to it will get removed if the file is opened in a newer version of Excel. Learn more: https://go.microsoft.com/fwlink/?linkid=870924
Comment:
    @Jenifer Watts this has the $42 credit</t>
      </text>
    </comment>
    <comment ref="Q127" authorId="7" shapeId="0" xr:uid="{8DE1065D-E977-438B-8EDA-FD2A2DE51C50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$280 IS CORRECT TOTAL-CFI AGREED TO REVISE INVOICE-OR SEND CREDIT</t>
        </r>
      </text>
    </comment>
    <comment ref="S129" authorId="3" shapeId="0" xr:uid="{C253D183-8D57-4B52-91C3-9ACE0F9136A1}">
      <text>
        <r>
          <rPr>
            <b/>
            <sz val="9"/>
            <color indexed="81"/>
            <rFont val="Tahoma"/>
            <family val="2"/>
          </rPr>
          <t>Josh and Jeni Watts:</t>
        </r>
        <r>
          <rPr>
            <sz val="9"/>
            <color indexed="81"/>
            <rFont val="Tahoma"/>
            <family val="2"/>
          </rPr>
          <t xml:space="preserve">
BO-492253 - $24 - ADDED TO QB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<sst xmlns="http://schemas.openxmlformats.org/spreadsheetml/2006/main" count="2667" uniqueCount="753">
  <si>
    <t>Ship Date</t>
  </si>
  <si>
    <t>Payment Terms</t>
  </si>
  <si>
    <t>Difference</t>
  </si>
  <si>
    <t>A&amp;L Seafood Brokers</t>
  </si>
  <si>
    <t>PO#</t>
  </si>
  <si>
    <t>Decription</t>
  </si>
  <si>
    <t>LBS</t>
  </si>
  <si>
    <t>Value</t>
  </si>
  <si>
    <t>Vendor</t>
  </si>
  <si>
    <t>Location</t>
  </si>
  <si>
    <t>Overhead</t>
  </si>
  <si>
    <t>Agreement Date</t>
  </si>
  <si>
    <t>Expected Arrival Date</t>
  </si>
  <si>
    <t>Customer</t>
  </si>
  <si>
    <t xml:space="preserve">Customer PO </t>
  </si>
  <si>
    <t>Margin %</t>
  </si>
  <si>
    <t>Delivered VALUE</t>
  </si>
  <si>
    <t>Price Per LB</t>
  </si>
  <si>
    <t>Del Price Per LB</t>
  </si>
  <si>
    <t>Price LB</t>
  </si>
  <si>
    <t>CS Size</t>
  </si>
  <si>
    <t>CS</t>
  </si>
  <si>
    <t>Payment Due Date</t>
  </si>
  <si>
    <t>Customer Terms</t>
  </si>
  <si>
    <t>Margin Value</t>
  </si>
  <si>
    <t>Margin Per LB</t>
  </si>
  <si>
    <t>N/A</t>
  </si>
  <si>
    <t>TBD</t>
  </si>
  <si>
    <t>CODE</t>
  </si>
  <si>
    <t>COO</t>
  </si>
  <si>
    <t>PROC COO</t>
  </si>
  <si>
    <t>CH</t>
  </si>
  <si>
    <t>USA</t>
  </si>
  <si>
    <t>Tampa Bay Fisheries</t>
  </si>
  <si>
    <t>FLO</t>
  </si>
  <si>
    <t>Superior Foods</t>
  </si>
  <si>
    <t>CRC INVOICE #</t>
  </si>
  <si>
    <t>Vendor Invoice #</t>
  </si>
  <si>
    <t>Overhead Value</t>
  </si>
  <si>
    <t>Vendor Code</t>
  </si>
  <si>
    <t>TAMP</t>
  </si>
  <si>
    <t>Customer Code</t>
  </si>
  <si>
    <t>SUPE</t>
  </si>
  <si>
    <t>SAL001</t>
  </si>
  <si>
    <t>SALMON FZ S/OFF MEAT FARMED</t>
  </si>
  <si>
    <t>COD</t>
  </si>
  <si>
    <t>CRC26-10003</t>
  </si>
  <si>
    <t>Expected Ship Date</t>
  </si>
  <si>
    <t>Logistics</t>
  </si>
  <si>
    <t>Freight charge</t>
  </si>
  <si>
    <t>Freight/LB</t>
  </si>
  <si>
    <t>IM Logistics</t>
  </si>
  <si>
    <t>Freight Invoice #</t>
  </si>
  <si>
    <t>CREDIT</t>
  </si>
  <si>
    <t>IMLO</t>
  </si>
  <si>
    <t>Miles062326</t>
  </si>
  <si>
    <t>RIDR</t>
  </si>
  <si>
    <t>SEVS</t>
  </si>
  <si>
    <t>Rid of the Red</t>
  </si>
  <si>
    <t>Seven Seas</t>
  </si>
  <si>
    <t>NAME</t>
  </si>
  <si>
    <t>TERMS</t>
  </si>
  <si>
    <t>FINALIZED</t>
  </si>
  <si>
    <t>YES</t>
  </si>
  <si>
    <t>NO</t>
  </si>
  <si>
    <t>DSEA</t>
  </si>
  <si>
    <t>Deep Sea Atlantic</t>
  </si>
  <si>
    <t>Established</t>
  </si>
  <si>
    <t>Terms</t>
  </si>
  <si>
    <t>Credit</t>
  </si>
  <si>
    <t>Yes</t>
  </si>
  <si>
    <t>Description</t>
  </si>
  <si>
    <t>Farmed/Wild</t>
  </si>
  <si>
    <t xml:space="preserve">Farmed </t>
  </si>
  <si>
    <t>PROC COUNTRY</t>
  </si>
  <si>
    <t>Atlantic Salmon FZ  SKOFF Meat FM</t>
  </si>
  <si>
    <t>PACI</t>
  </si>
  <si>
    <t>Pacific Harvest</t>
  </si>
  <si>
    <t>TRID</t>
  </si>
  <si>
    <t>Trident Seafoods</t>
  </si>
  <si>
    <t>PRODUCT SUPPLIERS</t>
  </si>
  <si>
    <t>FORWARDERS</t>
  </si>
  <si>
    <t>American International Trading</t>
  </si>
  <si>
    <t>TRUCKING/LOGISTICS</t>
  </si>
  <si>
    <t>AQUA</t>
  </si>
  <si>
    <t>SEAF</t>
  </si>
  <si>
    <t>Aquagold</t>
  </si>
  <si>
    <t>Seafarers</t>
  </si>
  <si>
    <t>CFIS</t>
  </si>
  <si>
    <t>CFIA</t>
  </si>
  <si>
    <t>CFIB</t>
  </si>
  <si>
    <t>Commodity Forwarders-Seattle</t>
  </si>
  <si>
    <t>Commodity Forwarders-Anchorage</t>
  </si>
  <si>
    <t>Commodity Forwarders-Boston</t>
  </si>
  <si>
    <t>AMOUNT</t>
  </si>
  <si>
    <t>PENI</t>
  </si>
  <si>
    <t>Peninsula Seafood</t>
  </si>
  <si>
    <t>Andersons Seafoods</t>
  </si>
  <si>
    <t>ENCO</t>
  </si>
  <si>
    <t>Encore Seafoods</t>
  </si>
  <si>
    <t>CRC26-10004</t>
  </si>
  <si>
    <t>CRC26-10005</t>
  </si>
  <si>
    <t>COLD</t>
  </si>
  <si>
    <t>Cold Fish</t>
  </si>
  <si>
    <t>BC</t>
  </si>
  <si>
    <t>WIRE/ACH FEE</t>
  </si>
  <si>
    <t>SAL201</t>
  </si>
  <si>
    <t>Wild</t>
  </si>
  <si>
    <t>SAL301</t>
  </si>
  <si>
    <t>HAL101</t>
  </si>
  <si>
    <t>HAL102</t>
  </si>
  <si>
    <t>TR King Salmon FS 4/7 Wild</t>
  </si>
  <si>
    <t>HG Halibut FS 10/20 Wild</t>
  </si>
  <si>
    <t>HG Halibut FS 20/40 Wild</t>
  </si>
  <si>
    <t>CA</t>
  </si>
  <si>
    <t>Frozen</t>
  </si>
  <si>
    <t>Fresh / Frozen</t>
  </si>
  <si>
    <t>Fresh</t>
  </si>
  <si>
    <t>Species</t>
  </si>
  <si>
    <t>Salmon</t>
  </si>
  <si>
    <t>Halibut</t>
  </si>
  <si>
    <t>SAL102</t>
  </si>
  <si>
    <t>SAL103</t>
  </si>
  <si>
    <t>Atlantic Salmon FS 2/3 D Trim PBO FM</t>
  </si>
  <si>
    <t>Atlantic Salmon FS 3/4 D Trim PBO FM</t>
  </si>
  <si>
    <t>JSON</t>
  </si>
  <si>
    <t>JD &amp; Sons</t>
  </si>
  <si>
    <t>EDDI</t>
  </si>
  <si>
    <t>Eddie M's</t>
  </si>
  <si>
    <t>MERR</t>
  </si>
  <si>
    <t>Merrick Seafoods</t>
  </si>
  <si>
    <t>GOLD</t>
  </si>
  <si>
    <t>Gold Star</t>
  </si>
  <si>
    <t xml:space="preserve">Cold Fish </t>
  </si>
  <si>
    <t>AITD</t>
  </si>
  <si>
    <t>PBX</t>
  </si>
  <si>
    <t>Sockeye HG FS Wild TT</t>
  </si>
  <si>
    <t>Additional Forwarder Cost</t>
  </si>
  <si>
    <t>Forwarder Utilized</t>
  </si>
  <si>
    <t>Forwarder Invoice</t>
  </si>
  <si>
    <t>CRC26-10006</t>
  </si>
  <si>
    <t>QUAL</t>
  </si>
  <si>
    <t>Quality Seafood</t>
  </si>
  <si>
    <t>Additional Forwarder cost LB</t>
  </si>
  <si>
    <t>KyleWild0626</t>
  </si>
  <si>
    <t>SOUT</t>
  </si>
  <si>
    <t>SAMM</t>
  </si>
  <si>
    <t>SIER</t>
  </si>
  <si>
    <t>Sierra Gold</t>
  </si>
  <si>
    <t>Sammy's Seafood</t>
  </si>
  <si>
    <t xml:space="preserve"> </t>
  </si>
  <si>
    <t>Sorensons Transport</t>
  </si>
  <si>
    <t>SOTR</t>
  </si>
  <si>
    <t>BADG</t>
  </si>
  <si>
    <t xml:space="preserve">Badger </t>
  </si>
  <si>
    <t>HBAY</t>
  </si>
  <si>
    <t>H&amp;M Bay</t>
  </si>
  <si>
    <t>PBXL</t>
  </si>
  <si>
    <t>SHOC</t>
  </si>
  <si>
    <t>Shocker Transport</t>
  </si>
  <si>
    <t>PANT</t>
  </si>
  <si>
    <t>Panther</t>
  </si>
  <si>
    <t>EVO Forwarders</t>
  </si>
  <si>
    <t>EVOF</t>
  </si>
  <si>
    <t>MULT</t>
  </si>
  <si>
    <t>Multi X</t>
  </si>
  <si>
    <t>CAMA</t>
  </si>
  <si>
    <t>Camanchaca</t>
  </si>
  <si>
    <t>Aquachile</t>
  </si>
  <si>
    <t>AQCH</t>
  </si>
  <si>
    <t>BLUG</t>
  </si>
  <si>
    <t xml:space="preserve">   </t>
  </si>
  <si>
    <t>SAL302</t>
  </si>
  <si>
    <t xml:space="preserve">Sockeye HG FS Wild Box </t>
  </si>
  <si>
    <t>ANDS</t>
  </si>
  <si>
    <t>Anderson Seafood</t>
  </si>
  <si>
    <t>JULY</t>
  </si>
  <si>
    <t>JUNE</t>
  </si>
  <si>
    <t>Kenai Fish</t>
  </si>
  <si>
    <t>Andersons Seafood</t>
  </si>
  <si>
    <t>SAL303</t>
  </si>
  <si>
    <t>CRC26-10007</t>
  </si>
  <si>
    <t>CAMT</t>
  </si>
  <si>
    <t>Camtu's Alaska Wild</t>
  </si>
  <si>
    <t>AK</t>
  </si>
  <si>
    <t>AK AIR</t>
  </si>
  <si>
    <t>Billsox070126</t>
  </si>
  <si>
    <t>CRC26-10008</t>
  </si>
  <si>
    <t>OCEA</t>
  </si>
  <si>
    <t>Ocean Sky</t>
  </si>
  <si>
    <t>MIA</t>
  </si>
  <si>
    <t>chris062926</t>
  </si>
  <si>
    <t>Emilio062926</t>
  </si>
  <si>
    <t>CAMTU'S Alaska Wild Seafoods</t>
  </si>
  <si>
    <t>BO-436214</t>
  </si>
  <si>
    <t>CRC26-10009</t>
  </si>
  <si>
    <t xml:space="preserve">AK AIR </t>
  </si>
  <si>
    <t>kylesox070126</t>
  </si>
  <si>
    <t>CRC26-10010</t>
  </si>
  <si>
    <t>CRC26-10011</t>
  </si>
  <si>
    <t>PBX LOG</t>
  </si>
  <si>
    <t>BMKT</t>
  </si>
  <si>
    <t>Boston Fish Market</t>
  </si>
  <si>
    <t>IM-5978</t>
  </si>
  <si>
    <t>CRC26-10012</t>
  </si>
  <si>
    <t>PACG</t>
  </si>
  <si>
    <t>Pacific Seafood Group</t>
  </si>
  <si>
    <t>OR</t>
  </si>
  <si>
    <t>SAL203</t>
  </si>
  <si>
    <t>TR King Salmon FS 11/18 Wild</t>
  </si>
  <si>
    <t xml:space="preserve">Wild </t>
  </si>
  <si>
    <t xml:space="preserve">Fresh </t>
  </si>
  <si>
    <t>KyleKing070126</t>
  </si>
  <si>
    <t>CRC26-10013</t>
  </si>
  <si>
    <t>Gold Star Seafoods</t>
  </si>
  <si>
    <t>Chris070626</t>
  </si>
  <si>
    <t>Kylewild070126</t>
  </si>
  <si>
    <t>PS-INV122007</t>
  </si>
  <si>
    <t>LOMB</t>
  </si>
  <si>
    <t xml:space="preserve">Lombardis </t>
  </si>
  <si>
    <t>BINN</t>
  </si>
  <si>
    <t>Binnacle</t>
  </si>
  <si>
    <t>SO NO</t>
  </si>
  <si>
    <t xml:space="preserve">Sales Order No </t>
  </si>
  <si>
    <t>CRC26-10014</t>
  </si>
  <si>
    <t xml:space="preserve">CFIS &amp; CFI B </t>
  </si>
  <si>
    <t>Kylehal070626</t>
  </si>
  <si>
    <t>Scientific Name</t>
  </si>
  <si>
    <t>CRC26-10015</t>
  </si>
  <si>
    <t>Peninsula Seafoods</t>
  </si>
  <si>
    <t>WA</t>
  </si>
  <si>
    <t>Carsox070726</t>
  </si>
  <si>
    <t>dave070726</t>
  </si>
  <si>
    <t>BO-443172</t>
  </si>
  <si>
    <t>BO-443170</t>
  </si>
  <si>
    <t>OUTSTANDING</t>
  </si>
  <si>
    <t>Outstanding</t>
  </si>
  <si>
    <t>CRC26-10016</t>
  </si>
  <si>
    <t>BORN</t>
  </si>
  <si>
    <t>Bornstein Seafoods</t>
  </si>
  <si>
    <t>SAL209</t>
  </si>
  <si>
    <t>KyleWild071026</t>
  </si>
  <si>
    <t>COL RIV FS GN King Salmon Wild</t>
  </si>
  <si>
    <t>CRC26-10017</t>
  </si>
  <si>
    <t>CRC26-10018</t>
  </si>
  <si>
    <t>CRC26-10019</t>
  </si>
  <si>
    <t>NA</t>
  </si>
  <si>
    <t>kylesock071026</t>
  </si>
  <si>
    <t>CRC26-10020</t>
  </si>
  <si>
    <t>SAL202</t>
  </si>
  <si>
    <t>TR King Salmon FS 7/11 Wild</t>
  </si>
  <si>
    <t>HAL103</t>
  </si>
  <si>
    <t>HG Halibut FS 40/60 Wild</t>
  </si>
  <si>
    <t>bubba71026</t>
  </si>
  <si>
    <t>chris071026</t>
  </si>
  <si>
    <t>bryking071026</t>
  </si>
  <si>
    <t>PS-INV122968</t>
  </si>
  <si>
    <t>Captain Alex</t>
  </si>
  <si>
    <t>chris071326</t>
  </si>
  <si>
    <t>CAPT</t>
  </si>
  <si>
    <t>Fresh Catch USA</t>
  </si>
  <si>
    <t>FCAT</t>
  </si>
  <si>
    <t>S10094764</t>
  </si>
  <si>
    <t>South Bend Products</t>
  </si>
  <si>
    <t>CRC26-10021</t>
  </si>
  <si>
    <t>Kylesox071326</t>
  </si>
  <si>
    <t>Customer Paid</t>
  </si>
  <si>
    <t>Approved Debit</t>
  </si>
  <si>
    <t>Total Return</t>
  </si>
  <si>
    <r>
      <t>DEBIT/APPROVED/</t>
    </r>
    <r>
      <rPr>
        <b/>
        <sz val="11"/>
        <color rgb="FFFF0000"/>
        <rFont val="Aptos Narrow"/>
        <family val="2"/>
        <scheme val="minor"/>
      </rPr>
      <t>NOT APP</t>
    </r>
  </si>
  <si>
    <t>Captain Alex Seafood</t>
  </si>
  <si>
    <t>CRC26-10022</t>
  </si>
  <si>
    <t>Cars071426</t>
  </si>
  <si>
    <t>dave071426</t>
  </si>
  <si>
    <t>Emil071426</t>
  </si>
  <si>
    <t>SAMU</t>
  </si>
  <si>
    <t xml:space="preserve">Samuel &amp; Sons </t>
  </si>
  <si>
    <t>BO-449107</t>
  </si>
  <si>
    <t>CRC26-10023</t>
  </si>
  <si>
    <t>AKAIR</t>
  </si>
  <si>
    <t>Brysox071526</t>
  </si>
  <si>
    <t>BO-449105</t>
  </si>
  <si>
    <t>Date Payment Received</t>
  </si>
  <si>
    <t>Days Past Due</t>
  </si>
  <si>
    <t>Payment DUE Date</t>
  </si>
  <si>
    <t>BO-442153</t>
  </si>
  <si>
    <t>CFIA/CFIB</t>
  </si>
  <si>
    <t>CRC26-10024</t>
  </si>
  <si>
    <t>Claybell Transport</t>
  </si>
  <si>
    <t>CBTR</t>
  </si>
  <si>
    <t>Delta</t>
  </si>
  <si>
    <t>30 Days</t>
  </si>
  <si>
    <t>Blu Glacier</t>
  </si>
  <si>
    <t>PREPAY</t>
  </si>
  <si>
    <t>CPX</t>
  </si>
  <si>
    <t xml:space="preserve">LTL and FTL </t>
  </si>
  <si>
    <t>FOOD</t>
  </si>
  <si>
    <t>Foods In Season</t>
  </si>
  <si>
    <t>BOST</t>
  </si>
  <si>
    <t>Boston Sword &amp; Tuna</t>
  </si>
  <si>
    <t>SEAM</t>
  </si>
  <si>
    <t>Seafood Merchants</t>
  </si>
  <si>
    <t>ALSB</t>
  </si>
  <si>
    <t>SOGD</t>
  </si>
  <si>
    <t>Sogda</t>
  </si>
  <si>
    <t>Southern Foods</t>
  </si>
  <si>
    <t>Ocean Crystal</t>
  </si>
  <si>
    <t>CRC26-10025</t>
  </si>
  <si>
    <t>Kwild072026</t>
  </si>
  <si>
    <t>KWild072026</t>
  </si>
  <si>
    <t>CRC26-10026</t>
  </si>
  <si>
    <t>BO-444245/SE-628706</t>
  </si>
  <si>
    <t>BluGlacier</t>
  </si>
  <si>
    <t>yes</t>
  </si>
  <si>
    <t>CHECK /ACH/WIRE: NO</t>
  </si>
  <si>
    <t>C 8034</t>
  </si>
  <si>
    <t>SWEST</t>
  </si>
  <si>
    <t>SeaProducts West inc</t>
  </si>
  <si>
    <t>IN PROC</t>
  </si>
  <si>
    <t>CPXT</t>
  </si>
  <si>
    <t>RUBI</t>
  </si>
  <si>
    <t>Rubicon Transport</t>
  </si>
  <si>
    <t>PALV</t>
  </si>
  <si>
    <t>Pacific Seafood LV</t>
  </si>
  <si>
    <t>PAID</t>
  </si>
  <si>
    <t xml:space="preserve">PURE </t>
  </si>
  <si>
    <t>Pure Fish</t>
  </si>
  <si>
    <t>Contact Name</t>
  </si>
  <si>
    <t>Cody/Charlie</t>
  </si>
  <si>
    <t>Kyle/Ilias</t>
  </si>
  <si>
    <t xml:space="preserve">Bill </t>
  </si>
  <si>
    <t>Dave</t>
  </si>
  <si>
    <t>Chris</t>
  </si>
  <si>
    <t>Justin</t>
  </si>
  <si>
    <t>Emilio</t>
  </si>
  <si>
    <t>Carl/Sean</t>
  </si>
  <si>
    <t>Dino</t>
  </si>
  <si>
    <t>Carson</t>
  </si>
  <si>
    <t>Blair/Nevin</t>
  </si>
  <si>
    <t>Bryce</t>
  </si>
  <si>
    <t>Shinobu/Scott</t>
  </si>
  <si>
    <t>PS-INV123886</t>
  </si>
  <si>
    <t>Jeff</t>
  </si>
  <si>
    <t>Larry/Brendan/Kyle</t>
  </si>
  <si>
    <t>Alan</t>
  </si>
  <si>
    <t>Turner</t>
  </si>
  <si>
    <t>Jennifer/Charles</t>
  </si>
  <si>
    <t>Jim</t>
  </si>
  <si>
    <t>??</t>
  </si>
  <si>
    <t>Jon</t>
  </si>
  <si>
    <t>Sergio</t>
  </si>
  <si>
    <t>Carlee</t>
  </si>
  <si>
    <t>Seabear</t>
  </si>
  <si>
    <t>SEAB</t>
  </si>
  <si>
    <t>Patti/Jeremy</t>
  </si>
  <si>
    <t>Iryna</t>
  </si>
  <si>
    <t>Tony's Smokehouse</t>
  </si>
  <si>
    <t>Fumior Grizzly</t>
  </si>
  <si>
    <t>CRC26-10027</t>
  </si>
  <si>
    <t>Aqua Gold</t>
  </si>
  <si>
    <t>chris071726</t>
  </si>
  <si>
    <t>CRC26-10028</t>
  </si>
  <si>
    <t>carsox071726</t>
  </si>
  <si>
    <t>Bryatl071726</t>
  </si>
  <si>
    <t>caratl071726</t>
  </si>
  <si>
    <t xml:space="preserve">Dennis </t>
  </si>
  <si>
    <t>BO-452254</t>
  </si>
  <si>
    <t>21 / 30</t>
  </si>
  <si>
    <t>ANA</t>
  </si>
  <si>
    <t>SAL002</t>
  </si>
  <si>
    <t>NOR</t>
  </si>
  <si>
    <t>CRC26-10029</t>
  </si>
  <si>
    <t>AZUS</t>
  </si>
  <si>
    <t>Azure Seafoods</t>
  </si>
  <si>
    <t>Total Quality Logistics</t>
  </si>
  <si>
    <t>TQLS</t>
  </si>
  <si>
    <t>CRC26-10030</t>
  </si>
  <si>
    <t>SAL206</t>
  </si>
  <si>
    <t>brywild072026</t>
  </si>
  <si>
    <t>brysox071826</t>
  </si>
  <si>
    <t xml:space="preserve">CFIS  </t>
  </si>
  <si>
    <t>Dave071826</t>
  </si>
  <si>
    <t>CRC26-10031</t>
  </si>
  <si>
    <t>AN-246301</t>
  </si>
  <si>
    <t>AN-246292</t>
  </si>
  <si>
    <t>CRC26-10032</t>
  </si>
  <si>
    <t>chris072026</t>
  </si>
  <si>
    <t>AN-248240/BO-456163</t>
  </si>
  <si>
    <t>Ksox072026</t>
  </si>
  <si>
    <t>14 (per invoice)</t>
  </si>
  <si>
    <t>CRC26-10033</t>
  </si>
  <si>
    <t>SCAR</t>
  </si>
  <si>
    <t xml:space="preserve">Scarlet Point </t>
  </si>
  <si>
    <t>HAL106</t>
  </si>
  <si>
    <t>Scarlet Point Seafoods</t>
  </si>
  <si>
    <t>Pollock Producers</t>
  </si>
  <si>
    <t xml:space="preserve">American Seafoods </t>
  </si>
  <si>
    <t>1-206-448-0300</t>
  </si>
  <si>
    <t>Trident</t>
  </si>
  <si>
    <t>Seven Seas Foods</t>
  </si>
  <si>
    <t>GAPP</t>
  </si>
  <si>
    <t>alaskapollock.org</t>
  </si>
  <si>
    <t>Kramer Fish Group</t>
  </si>
  <si>
    <t>Westward Seafoods</t>
  </si>
  <si>
    <t>Dutch Harbor</t>
  </si>
  <si>
    <t>Total Production:</t>
  </si>
  <si>
    <t>254,000,000 LBS</t>
  </si>
  <si>
    <t>Pollock</t>
  </si>
  <si>
    <t>Cod</t>
  </si>
  <si>
    <t>Black Cod</t>
  </si>
  <si>
    <t>King Crab</t>
  </si>
  <si>
    <t>Snow Crab</t>
  </si>
  <si>
    <t>Dungeness Crab</t>
  </si>
  <si>
    <t>CRC26-10034</t>
  </si>
  <si>
    <t>CRC26-10035</t>
  </si>
  <si>
    <t>Ksox072226</t>
  </si>
  <si>
    <t>BO-457167</t>
  </si>
  <si>
    <t>RAWS</t>
  </si>
  <si>
    <t>Raw Seafoods</t>
  </si>
  <si>
    <t>Grace/Tom</t>
  </si>
  <si>
    <t>PS-INV124420</t>
  </si>
  <si>
    <t>Unknown</t>
  </si>
  <si>
    <t>Freight Forwarding Group (FFG)</t>
  </si>
  <si>
    <t>FFGL</t>
  </si>
  <si>
    <t>PS-INV124501</t>
  </si>
  <si>
    <t>Car072326</t>
  </si>
  <si>
    <t>SE-635674</t>
  </si>
  <si>
    <t>Dicarlo Seafoods</t>
  </si>
  <si>
    <t>Mark Freels</t>
  </si>
  <si>
    <t>ACH</t>
  </si>
  <si>
    <t>Charles Fulton</t>
  </si>
  <si>
    <t>Keith Hill</t>
  </si>
  <si>
    <t>WCWD</t>
  </si>
  <si>
    <t>WCWA</t>
  </si>
  <si>
    <t>TH Seafoods DBA Raw Finds</t>
  </si>
  <si>
    <t>Creation Gardens DBA: What Chef Wants Denver</t>
  </si>
  <si>
    <t xml:space="preserve">Creation Gardens DBA: What Chef Wants Atlanta </t>
  </si>
  <si>
    <t>Ksox072726</t>
  </si>
  <si>
    <t>CRC26-10036</t>
  </si>
  <si>
    <t>HAL107</t>
  </si>
  <si>
    <t>Kwild072726</t>
  </si>
  <si>
    <t>Lions Gate Fisheries LTD</t>
  </si>
  <si>
    <t>FISH</t>
  </si>
  <si>
    <t>Fish Wholesale</t>
  </si>
  <si>
    <t>Eddie072326</t>
  </si>
  <si>
    <t>Eddie</t>
  </si>
  <si>
    <t>LION</t>
  </si>
  <si>
    <t>brendan072426</t>
  </si>
  <si>
    <t xml:space="preserve">BOST  </t>
  </si>
  <si>
    <t>Lombardi's Market</t>
  </si>
  <si>
    <t>CAR072726</t>
  </si>
  <si>
    <t>CRC26-10038</t>
  </si>
  <si>
    <t>CRC26-10039</t>
  </si>
  <si>
    <t>CRC26-10040</t>
  </si>
  <si>
    <t xml:space="preserve">CAMTU'S Alaska Wild Seafoods </t>
  </si>
  <si>
    <t>Lions Gate</t>
  </si>
  <si>
    <t>SAL112</t>
  </si>
  <si>
    <t>PS-INV124852</t>
  </si>
  <si>
    <t>CRC26-10041</t>
  </si>
  <si>
    <t>CRC26-10042</t>
  </si>
  <si>
    <t>CRC26-10043</t>
  </si>
  <si>
    <t>BO-459249</t>
  </si>
  <si>
    <t>CRC26-10037</t>
  </si>
  <si>
    <t>Bryce072726</t>
  </si>
  <si>
    <t>LCXF</t>
  </si>
  <si>
    <t xml:space="preserve">LCX Fresh </t>
  </si>
  <si>
    <t>WFCL</t>
  </si>
  <si>
    <t xml:space="preserve">WFC Logistics </t>
  </si>
  <si>
    <t>CRC26-10044</t>
  </si>
  <si>
    <t>CARRIER</t>
  </si>
  <si>
    <t>Forwarder Cost</t>
  </si>
  <si>
    <t>Additional Forwarder or Freight Cost</t>
  </si>
  <si>
    <t>Additional Forwarder or Freight Invoice#</t>
  </si>
  <si>
    <t>Ship Date Range</t>
  </si>
  <si>
    <t>ALL Sales Orders associated to PO by Line Item</t>
  </si>
  <si>
    <t>Average Price per LB</t>
  </si>
  <si>
    <t>Total Returned Value</t>
  </si>
  <si>
    <t>TOTAL VOLUME INVOICED</t>
  </si>
  <si>
    <t>Difference from Received LBS</t>
  </si>
  <si>
    <t>FINAL RETURNED VALUE AFTER PAYMENTS COMPLETE</t>
  </si>
  <si>
    <t>UNDETERMINED</t>
  </si>
  <si>
    <t>CRC26-10045</t>
  </si>
  <si>
    <t>CRC26-10049</t>
  </si>
  <si>
    <t>CRC26-10046</t>
  </si>
  <si>
    <t>Eddies</t>
  </si>
  <si>
    <t>Bill072826</t>
  </si>
  <si>
    <t>ksox073026</t>
  </si>
  <si>
    <t>C</t>
  </si>
  <si>
    <t xml:space="preserve">C </t>
  </si>
  <si>
    <t>DEBIT</t>
  </si>
  <si>
    <t>CRC26-10048</t>
  </si>
  <si>
    <t xml:space="preserve">Pacific Harvest </t>
  </si>
  <si>
    <t>Wa</t>
  </si>
  <si>
    <t>KKING07326</t>
  </si>
  <si>
    <t xml:space="preserve">King Salmon O/R GN FS Wild </t>
  </si>
  <si>
    <t>CRC26-10051</t>
  </si>
  <si>
    <t xml:space="preserve">Coho Salmon Troll FS O/R </t>
  </si>
  <si>
    <t xml:space="preserve">USA </t>
  </si>
  <si>
    <t xml:space="preserve">SEAM </t>
  </si>
  <si>
    <t>dennis073026</t>
  </si>
  <si>
    <t xml:space="preserve">Paid </t>
  </si>
  <si>
    <t xml:space="preserve">Wa </t>
  </si>
  <si>
    <t>SAL208</t>
  </si>
  <si>
    <t>Dave073126</t>
  </si>
  <si>
    <t>SAL405</t>
  </si>
  <si>
    <t>First Seafood</t>
  </si>
  <si>
    <t>FSEA</t>
  </si>
  <si>
    <t>CRC26-10050</t>
  </si>
  <si>
    <t>CRC26-10047</t>
  </si>
  <si>
    <t>CRC26-10052</t>
  </si>
  <si>
    <t>CRC26-10053B</t>
  </si>
  <si>
    <t>CRC26-10053A</t>
  </si>
  <si>
    <t>CRC26-10054</t>
  </si>
  <si>
    <t>Camtus Alaska Wild</t>
  </si>
  <si>
    <t>CRC26-10055</t>
  </si>
  <si>
    <t>SE-636647</t>
  </si>
  <si>
    <t>SE-650659</t>
  </si>
  <si>
    <t>CRC26-10056</t>
  </si>
  <si>
    <t>Del Cost Per LB</t>
  </si>
  <si>
    <t>Recycled</t>
  </si>
  <si>
    <t>Customs Broker</t>
  </si>
  <si>
    <t>FLEG</t>
  </si>
  <si>
    <t>Fleigenheimer</t>
  </si>
  <si>
    <t xml:space="preserve">Pbx </t>
  </si>
  <si>
    <t>SAAU</t>
  </si>
  <si>
    <t>Salmones Austral</t>
  </si>
  <si>
    <t>N1665238</t>
  </si>
  <si>
    <t>Coho Salmon HG FS TOTE</t>
  </si>
  <si>
    <t>SAL400</t>
  </si>
  <si>
    <t>Lion Gate</t>
  </si>
  <si>
    <t>CRC26-10057</t>
  </si>
  <si>
    <t>CRC26-10058</t>
  </si>
  <si>
    <t>CAMTU</t>
  </si>
  <si>
    <t>CRC26-10059</t>
  </si>
  <si>
    <t>SUPP</t>
  </si>
  <si>
    <t>Seafood Supply Company</t>
  </si>
  <si>
    <t>Peter Schnabel</t>
  </si>
  <si>
    <t>SCOT</t>
  </si>
  <si>
    <t>Scotlynn</t>
  </si>
  <si>
    <t>Peninsula</t>
  </si>
  <si>
    <t xml:space="preserve">Ocean Sky Seafoods </t>
  </si>
  <si>
    <t>FL</t>
  </si>
  <si>
    <t>INVE</t>
  </si>
  <si>
    <t>Invermar</t>
  </si>
  <si>
    <t>PS-INV126929</t>
  </si>
  <si>
    <t>AN-255300</t>
  </si>
  <si>
    <t>15 Days</t>
  </si>
  <si>
    <t>CRC26-10060</t>
  </si>
  <si>
    <t>AUGUST</t>
  </si>
  <si>
    <t>SAL402</t>
  </si>
  <si>
    <t>Coho Salmon HG FS Box</t>
  </si>
  <si>
    <t>Sleeping Giant</t>
  </si>
  <si>
    <t>SLGI</t>
  </si>
  <si>
    <t>CRC26-10061</t>
  </si>
  <si>
    <t>SAS001</t>
  </si>
  <si>
    <t>SAC001</t>
  </si>
  <si>
    <t>SAP001</t>
  </si>
  <si>
    <t xml:space="preserve">Sockeye Salmon FZ Skinless Meat </t>
  </si>
  <si>
    <t>Chum Salmon FZ Skinless Meat</t>
  </si>
  <si>
    <t>Pink Salmon FZ Skinless Meat</t>
  </si>
  <si>
    <t>CRC26-10062</t>
  </si>
  <si>
    <t>CRC26-10063</t>
  </si>
  <si>
    <t>Cooke Aquaculture Chile</t>
  </si>
  <si>
    <t>COOK</t>
  </si>
  <si>
    <t>CRC26-10064</t>
  </si>
  <si>
    <t>Tampa Bay</t>
  </si>
  <si>
    <t>WIRE</t>
  </si>
  <si>
    <t>CRC26-10065</t>
  </si>
  <si>
    <t>WILD</t>
  </si>
  <si>
    <t>FRESH</t>
  </si>
  <si>
    <t>SALMON</t>
  </si>
  <si>
    <t>BURNSED</t>
  </si>
  <si>
    <t>CRC26-10066</t>
  </si>
  <si>
    <t>CRC26-10067</t>
  </si>
  <si>
    <t>BURN</t>
  </si>
  <si>
    <t>Burnsed Trucking</t>
  </si>
  <si>
    <t>No</t>
  </si>
  <si>
    <t>Pescanova, Inc</t>
  </si>
  <si>
    <t>PESC</t>
  </si>
  <si>
    <t>SAL403</t>
  </si>
  <si>
    <t xml:space="preserve">Coho Salmon H-ON Net FS </t>
  </si>
  <si>
    <t>CRC26-10068</t>
  </si>
  <si>
    <t>AIT</t>
  </si>
  <si>
    <t xml:space="preserve">Highlands </t>
  </si>
  <si>
    <t>Jon Brown</t>
  </si>
  <si>
    <t>Sea Merchants</t>
  </si>
  <si>
    <t>PROFORMA 62885</t>
  </si>
  <si>
    <t>CRC26-10069</t>
  </si>
  <si>
    <t>PS-INV1277728</t>
  </si>
  <si>
    <t>BO-482255</t>
  </si>
  <si>
    <t>CRC26-10070</t>
  </si>
  <si>
    <t>CRC26-10071</t>
  </si>
  <si>
    <t>KITC</t>
  </si>
  <si>
    <t>Mark Pandolfo</t>
  </si>
  <si>
    <t>Andrea Porter</t>
  </si>
  <si>
    <t>CRC26-10072</t>
  </si>
  <si>
    <t>CRC26-10073</t>
  </si>
  <si>
    <t>COD020</t>
  </si>
  <si>
    <t>Cod U/3 AK portions Skinless FZ IQF</t>
  </si>
  <si>
    <t>`3-9060</t>
  </si>
  <si>
    <t>`3-9059</t>
  </si>
  <si>
    <t>CHINA</t>
  </si>
  <si>
    <t>CRC26-10074</t>
  </si>
  <si>
    <t>CRC26-10075</t>
  </si>
  <si>
    <t>CRC26-10076</t>
  </si>
  <si>
    <t>BO-483254</t>
  </si>
  <si>
    <t>CRC26-10077</t>
  </si>
  <si>
    <t>AN-266291- AN-267252</t>
  </si>
  <si>
    <t>10070, 10071</t>
  </si>
  <si>
    <t>SAL120</t>
  </si>
  <si>
    <t>Atlantic Salmon FS HD ON 12/14</t>
  </si>
  <si>
    <t>COPP</t>
  </si>
  <si>
    <t>Copper River Seafoods</t>
  </si>
  <si>
    <t>PS-INV127942</t>
  </si>
  <si>
    <t>SE-656676- SE-656687</t>
  </si>
  <si>
    <t>Cast Right Catch Co., LLC</t>
  </si>
  <si>
    <t xml:space="preserve">P.O Box 1064 </t>
  </si>
  <si>
    <t>Orting, Wa 98360</t>
  </si>
  <si>
    <t>(253) 540-2631</t>
  </si>
  <si>
    <t>Date Received:</t>
  </si>
  <si>
    <t>Purchase Order #:</t>
  </si>
  <si>
    <t>Date of Quality Issue:</t>
  </si>
  <si>
    <t>Vendor Code:</t>
  </si>
  <si>
    <t>DEBIT MEMO</t>
  </si>
  <si>
    <t>Lbs Rec.</t>
  </si>
  <si>
    <t>Price LB.</t>
  </si>
  <si>
    <t>Lbs Claimed</t>
  </si>
  <si>
    <t>Claim Value</t>
  </si>
  <si>
    <t>Claim %</t>
  </si>
  <si>
    <t>Claim Reason</t>
  </si>
  <si>
    <t xml:space="preserve">Notes: </t>
  </si>
  <si>
    <t>CRC26-10078</t>
  </si>
  <si>
    <t>CRC26-10079</t>
  </si>
  <si>
    <t>South Bend</t>
  </si>
  <si>
    <t>Notified sales?: Y</t>
  </si>
  <si>
    <t>Approved by ven?: Y</t>
  </si>
  <si>
    <t>CRC26-10080</t>
  </si>
  <si>
    <t>CRC26-10081</t>
  </si>
  <si>
    <t>CRC26-10082</t>
  </si>
  <si>
    <t>PAID INVOICES</t>
  </si>
  <si>
    <t>DIFF PAID VS INVOICED</t>
  </si>
  <si>
    <t>10067-10068-10069</t>
  </si>
  <si>
    <t>10064- 10066- 10075-10077-10086-10087</t>
  </si>
  <si>
    <t>10078-10079</t>
  </si>
  <si>
    <t>BO-484239</t>
  </si>
  <si>
    <t>BO-486198</t>
  </si>
  <si>
    <t>SAS010</t>
  </si>
  <si>
    <t>September</t>
  </si>
  <si>
    <t>CRC26-10083</t>
  </si>
  <si>
    <t>USD2022211</t>
  </si>
  <si>
    <t>CRC26-10084</t>
  </si>
  <si>
    <t>CRC26-10085</t>
  </si>
  <si>
    <t>ITEM CODE</t>
  </si>
  <si>
    <t>LBS PURCH</t>
  </si>
  <si>
    <t>USD2022214</t>
  </si>
  <si>
    <t>CRC26-10086</t>
  </si>
  <si>
    <t>CRC26-10087</t>
  </si>
  <si>
    <t>SE-652703</t>
  </si>
  <si>
    <t>AN-259300, BO-469201</t>
  </si>
  <si>
    <t>CUSTOMER CODE</t>
  </si>
  <si>
    <t>INVOICE#:</t>
  </si>
  <si>
    <t>CREDIT MEMO</t>
  </si>
  <si>
    <t>COD021</t>
  </si>
  <si>
    <t>Cod FZ 1-3oz IQF SK/OFF Portions</t>
  </si>
  <si>
    <t>Pacific Cod</t>
  </si>
  <si>
    <t>COD050</t>
  </si>
  <si>
    <t>Black Cod E/C FZ 4/5 Box</t>
  </si>
  <si>
    <t>Pacific Seafood Texas</t>
  </si>
  <si>
    <t>Victor/Ben</t>
  </si>
  <si>
    <t xml:space="preserve">Reggie/Rey </t>
  </si>
  <si>
    <t>210-799-6888</t>
  </si>
  <si>
    <t>CRC26-10088</t>
  </si>
  <si>
    <t xml:space="preserve">TBD </t>
  </si>
  <si>
    <t>CRC26-10089</t>
  </si>
  <si>
    <t>CRC26-10090</t>
  </si>
  <si>
    <t>CRC26-10091</t>
  </si>
  <si>
    <t>CRC26-10092</t>
  </si>
  <si>
    <t>CRC26-10093</t>
  </si>
  <si>
    <t>CRC26-10094</t>
  </si>
  <si>
    <t>CRC26-10095</t>
  </si>
  <si>
    <t>CRC26-10096</t>
  </si>
  <si>
    <t>`3-9700</t>
  </si>
  <si>
    <t>BO-490245</t>
  </si>
  <si>
    <t>PROFORMA - 10481510</t>
  </si>
  <si>
    <t xml:space="preserve">PROFORMA </t>
  </si>
  <si>
    <t>CRC26-10097</t>
  </si>
  <si>
    <t>CRC26-10098</t>
  </si>
  <si>
    <t>HG #1 Sockeye FZ 2/4 IQF TT MSC</t>
  </si>
  <si>
    <t>BO-490186</t>
  </si>
  <si>
    <t>CRC26-10099</t>
  </si>
  <si>
    <t>CRC26-10100</t>
  </si>
  <si>
    <t>CRC26-10101</t>
  </si>
  <si>
    <t>CRC26-10102</t>
  </si>
  <si>
    <t>PBX?</t>
  </si>
  <si>
    <t>CFI</t>
  </si>
  <si>
    <t xml:space="preserve">Fortune Fish Minnesota </t>
  </si>
  <si>
    <t>Kitchens Seafood/Tampa Bay Fisheries</t>
  </si>
  <si>
    <t>BO-491235</t>
  </si>
  <si>
    <t>BO-491236</t>
  </si>
  <si>
    <t>SE-661650</t>
  </si>
  <si>
    <t>CRC26-10103</t>
  </si>
  <si>
    <t>SE-661686</t>
  </si>
  <si>
    <t>BO-492150</t>
  </si>
  <si>
    <t>BO-492253</t>
  </si>
  <si>
    <t>CRC26-10104</t>
  </si>
  <si>
    <t>CRC26-10105</t>
  </si>
  <si>
    <t>CRC26-10106</t>
  </si>
  <si>
    <t>CRC26-10107</t>
  </si>
  <si>
    <t>CRC26-10108</t>
  </si>
  <si>
    <t>CRC26-10109</t>
  </si>
  <si>
    <t xml:space="preserve">  </t>
  </si>
  <si>
    <t>CRC26-10110</t>
  </si>
  <si>
    <t>PHS28732</t>
  </si>
  <si>
    <t>10106-10094</t>
  </si>
  <si>
    <t>CHALKY/JELLY HALIBUT</t>
  </si>
  <si>
    <t>HG HALIBUT FS 20/40 WILD</t>
  </si>
  <si>
    <r>
      <t>Sales Rep:Jamie Gonzalez</t>
    </r>
    <r>
      <rPr>
        <sz val="11"/>
        <color theme="1"/>
        <rFont val="Aptos Narrow"/>
        <family val="2"/>
        <scheme val="minor"/>
      </rPr>
      <t xml:space="preserve"> </t>
    </r>
  </si>
  <si>
    <t>Sales Email: Jamie@phsfd.com</t>
  </si>
  <si>
    <t>Sales Phone: 425-753-3567</t>
  </si>
  <si>
    <t>Pictures attached? Yes</t>
  </si>
  <si>
    <t>How many pics and of what? Label/ pq product</t>
  </si>
  <si>
    <t>PRINT NAME: Kristen Barnes</t>
  </si>
  <si>
    <t>DATE SUBMITTED: 08-26-26</t>
  </si>
  <si>
    <t>JELLY/CHALKY HALIBUT</t>
  </si>
  <si>
    <t>CONTACT:Carson Towle</t>
  </si>
  <si>
    <t>PHONE: 1-239-699-3905</t>
  </si>
  <si>
    <t>EMAIL: carson.towle@lombardis.com</t>
  </si>
  <si>
    <t>DATE NOTIFIED:08-26</t>
  </si>
  <si>
    <t xml:space="preserve">Pictures attached/documenation?  yes      </t>
  </si>
  <si>
    <t>How many pics and of what? 1 label, 1 pq product</t>
  </si>
  <si>
    <t>PRINT NAME: KRISTEN BARNES</t>
  </si>
  <si>
    <t>Approved?: PER JOSH</t>
  </si>
  <si>
    <t>Notes: CRC26-10086- CARHAL081926</t>
  </si>
  <si>
    <t>FOTM</t>
  </si>
  <si>
    <t>FOTK</t>
  </si>
  <si>
    <t>Fortune Fish Missouri St.Louis</t>
  </si>
  <si>
    <t>FOTS</t>
  </si>
  <si>
    <t>Fortune Fish Missouri Kansas City</t>
  </si>
  <si>
    <t>Fortune Fish Texas</t>
  </si>
  <si>
    <t>FOTT</t>
  </si>
  <si>
    <t xml:space="preserve">Brent </t>
  </si>
  <si>
    <t xml:space="preserve">Brent /Scott </t>
  </si>
  <si>
    <t>PGTT</t>
  </si>
  <si>
    <t>Pacific Group Trucking Transport</t>
  </si>
  <si>
    <t>ACH - 549</t>
  </si>
  <si>
    <t>SAL220</t>
  </si>
  <si>
    <t>ACH - 550</t>
  </si>
  <si>
    <t>King Salmon HG FS O/R Tule TT</t>
  </si>
  <si>
    <t>Bornsteins Seafoods</t>
  </si>
  <si>
    <t>CRC26-10111</t>
  </si>
  <si>
    <t>Bornsteins</t>
  </si>
  <si>
    <t>LCX/WFCL</t>
  </si>
  <si>
    <t>SE-655705, 656579, 663701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</si>
</sst>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d\-mmm;@"/>
    <numFmt numFmtId="166" formatCode="&quot;$&quot;#,##0.000"/>
    <numFmt numFmtId="167" formatCode="[$-409]d\-mmm\-yy;@"/>
    <numFmt numFmtId="168" formatCode="m/d/yy;@"/>
    <numFmt numFmtId="169" formatCode="&quot;$&quot;#,##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7"/>
      <color rgb="FF333333"/>
      <name val="Arial"/>
      <family val="2"/>
    </font>
    <font>
      <b/>
      <sz val="7"/>
      <color rgb="FF337B6C"/>
      <name val="Arial"/>
      <family val="2"/>
    </font>
    <font>
      <b/>
      <sz val="1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10" borderId="5" applyNumberFormat="0" applyFont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7" applyNumberFormat="0" applyAlignment="0" applyProtection="0"/>
    <xf numFmtId="44" fontId="6" fillId="0" borderId="0" applyFont="0" applyFill="0" applyBorder="0" applyAlignment="0" applyProtection="0"/>
  </cellStyleXfs>
  <cellXfs count="29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0" xfId="0" applyFill="1"/>
    <xf numFmtId="164" fontId="0" fillId="2" borderId="0" xfId="0" applyNumberFormat="1" applyFill="1"/>
    <xf numFmtId="166" fontId="0" fillId="0" borderId="0" xfId="0" applyNumberFormat="1"/>
    <xf numFmtId="166" fontId="0" fillId="2" borderId="0" xfId="0" applyNumberFormat="1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/>
    <xf numFmtId="0" fontId="0" fillId="0" borderId="4" xfId="0" applyBorder="1"/>
    <xf numFmtId="165" fontId="0" fillId="0" borderId="4" xfId="0" applyNumberFormat="1" applyBorder="1"/>
    <xf numFmtId="164" fontId="0" fillId="3" borderId="0" xfId="0" applyNumberFormat="1" applyFill="1"/>
    <xf numFmtId="4" fontId="1" fillId="0" borderId="0" xfId="0" applyNumberFormat="1" applyFont="1"/>
    <xf numFmtId="10" fontId="1" fillId="0" borderId="0" xfId="0" applyNumberFormat="1" applyFont="1"/>
    <xf numFmtId="0" fontId="0" fillId="3" borderId="0" xfId="0" applyFill="1" applyAlignment="1">
      <alignment horizontal="center"/>
    </xf>
    <xf numFmtId="165" fontId="0" fillId="3" borderId="0" xfId="0" applyNumberFormat="1" applyFill="1"/>
    <xf numFmtId="16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4" fontId="0" fillId="3" borderId="0" xfId="0" applyNumberFormat="1" applyFill="1"/>
    <xf numFmtId="166" fontId="0" fillId="3" borderId="0" xfId="0" applyNumberFormat="1" applyFill="1"/>
    <xf numFmtId="4" fontId="0" fillId="0" borderId="0" xfId="0" applyNumberFormat="1"/>
    <xf numFmtId="10" fontId="0" fillId="0" borderId="0" xfId="0" applyNumberFormat="1"/>
    <xf numFmtId="0" fontId="0" fillId="7" borderId="0" xfId="0" applyFill="1"/>
    <xf numFmtId="164" fontId="1" fillId="3" borderId="0" xfId="0" applyNumberFormat="1" applyFont="1" applyFill="1"/>
    <xf numFmtId="164" fontId="0" fillId="4" borderId="0" xfId="0" applyNumberFormat="1" applyFill="1"/>
    <xf numFmtId="0" fontId="0" fillId="0" borderId="4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3" fontId="0" fillId="0" borderId="0" xfId="0" applyNumberFormat="1"/>
    <xf numFmtId="3" fontId="1" fillId="0" borderId="2" xfId="0" applyNumberFormat="1" applyFont="1" applyBorder="1" applyAlignment="1">
      <alignment horizontal="center" vertical="center" wrapText="1"/>
    </xf>
    <xf numFmtId="3" fontId="0" fillId="3" borderId="0" xfId="0" applyNumberFormat="1" applyFill="1"/>
    <xf numFmtId="3" fontId="1" fillId="0" borderId="0" xfId="0" applyNumberFormat="1" applyFont="1"/>
    <xf numFmtId="3" fontId="0" fillId="0" borderId="4" xfId="0" applyNumberFormat="1" applyBorder="1"/>
    <xf numFmtId="4" fontId="0" fillId="0" borderId="4" xfId="0" applyNumberFormat="1" applyBorder="1"/>
    <xf numFmtId="0" fontId="0" fillId="9" borderId="4" xfId="0" applyFill="1" applyBorder="1"/>
    <xf numFmtId="3" fontId="0" fillId="9" borderId="4" xfId="0" applyNumberFormat="1" applyFill="1" applyBorder="1"/>
    <xf numFmtId="0" fontId="0" fillId="9" borderId="4" xfId="0" applyFill="1" applyBorder="1" applyAlignment="1">
      <alignment horizontal="center"/>
    </xf>
    <xf numFmtId="165" fontId="0" fillId="9" borderId="4" xfId="0" applyNumberFormat="1" applyFill="1" applyBorder="1"/>
    <xf numFmtId="164" fontId="0" fillId="2" borderId="3" xfId="0" applyNumberFormat="1" applyFill="1" applyBorder="1"/>
    <xf numFmtId="0" fontId="0" fillId="11" borderId="1" xfId="0" applyFill="1" applyBorder="1"/>
    <xf numFmtId="0" fontId="5" fillId="3" borderId="0" xfId="2" applyFont="1" applyFill="1"/>
    <xf numFmtId="164" fontId="9" fillId="2" borderId="0" xfId="0" applyNumberFormat="1" applyFont="1" applyFill="1"/>
    <xf numFmtId="167" fontId="0" fillId="0" borderId="0" xfId="0" applyNumberFormat="1"/>
    <xf numFmtId="167" fontId="1" fillId="0" borderId="2" xfId="0" applyNumberFormat="1" applyFont="1" applyBorder="1" applyAlignment="1">
      <alignment horizontal="center" vertical="center" wrapText="1"/>
    </xf>
    <xf numFmtId="167" fontId="0" fillId="0" borderId="4" xfId="0" applyNumberFormat="1" applyBorder="1"/>
    <xf numFmtId="167" fontId="1" fillId="0" borderId="0" xfId="0" applyNumberFormat="1" applyFont="1"/>
    <xf numFmtId="167" fontId="0" fillId="2" borderId="0" xfId="0" applyNumberFormat="1" applyFill="1"/>
    <xf numFmtId="0" fontId="0" fillId="14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center" vertical="center" wrapText="1"/>
    </xf>
    <xf numFmtId="164" fontId="0" fillId="9" borderId="4" xfId="0" applyNumberFormat="1" applyFill="1" applyBorder="1"/>
    <xf numFmtId="164" fontId="0" fillId="0" borderId="4" xfId="0" applyNumberFormat="1" applyBorder="1"/>
    <xf numFmtId="0" fontId="5" fillId="3" borderId="0" xfId="0" applyFont="1" applyFill="1" applyAlignment="1">
      <alignment horizontal="center"/>
    </xf>
    <xf numFmtId="0" fontId="5" fillId="3" borderId="0" xfId="4" applyFont="1" applyFill="1" applyAlignment="1">
      <alignment horizontal="center"/>
    </xf>
    <xf numFmtId="0" fontId="11" fillId="15" borderId="0" xfId="4"/>
    <xf numFmtId="164" fontId="11" fillId="15" borderId="0" xfId="4" applyNumberFormat="1"/>
    <xf numFmtId="164" fontId="1" fillId="8" borderId="0" xfId="0" applyNumberFormat="1" applyFont="1" applyFill="1"/>
    <xf numFmtId="164" fontId="0" fillId="3" borderId="6" xfId="0" applyNumberFormat="1" applyFill="1" applyBorder="1"/>
    <xf numFmtId="164" fontId="0" fillId="6" borderId="0" xfId="0" applyNumberFormat="1" applyFill="1"/>
    <xf numFmtId="166" fontId="0" fillId="6" borderId="0" xfId="0" applyNumberFormat="1" applyFill="1"/>
    <xf numFmtId="10" fontId="0" fillId="6" borderId="0" xfId="0" applyNumberFormat="1" applyFill="1"/>
    <xf numFmtId="0" fontId="0" fillId="11" borderId="1" xfId="0" applyFill="1" applyBorder="1" applyAlignment="1">
      <alignment horizontal="right"/>
    </xf>
    <xf numFmtId="0" fontId="9" fillId="14" borderId="0" xfId="0" applyFont="1" applyFill="1"/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164" fontId="15" fillId="6" borderId="0" xfId="0" applyNumberFormat="1" applyFont="1" applyFill="1"/>
    <xf numFmtId="0" fontId="0" fillId="4" borderId="0" xfId="0" applyFill="1" applyAlignment="1">
      <alignment horizontal="center"/>
    </xf>
    <xf numFmtId="0" fontId="5" fillId="3" borderId="0" xfId="0" applyFont="1" applyFill="1"/>
    <xf numFmtId="0" fontId="5" fillId="14" borderId="0" xfId="0" applyFont="1" applyFill="1"/>
    <xf numFmtId="10" fontId="0" fillId="2" borderId="12" xfId="0" applyNumberFormat="1" applyFill="1" applyBorder="1"/>
    <xf numFmtId="164" fontId="1" fillId="6" borderId="0" xfId="0" applyNumberFormat="1" applyFont="1" applyFill="1"/>
    <xf numFmtId="16" fontId="0" fillId="0" borderId="11" xfId="0" applyNumberFormat="1" applyBorder="1"/>
    <xf numFmtId="0" fontId="0" fillId="9" borderId="0" xfId="0" applyFill="1"/>
    <xf numFmtId="3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166" fontId="0" fillId="9" borderId="0" xfId="0" applyNumberFormat="1" applyFill="1"/>
    <xf numFmtId="165" fontId="0" fillId="9" borderId="0" xfId="0" applyNumberFormat="1" applyFill="1"/>
    <xf numFmtId="16" fontId="0" fillId="9" borderId="0" xfId="0" applyNumberFormat="1" applyFill="1"/>
    <xf numFmtId="10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5" fillId="3" borderId="0" xfId="3" applyFont="1" applyFill="1"/>
    <xf numFmtId="164" fontId="1" fillId="17" borderId="0" xfId="0" applyNumberFormat="1" applyFont="1" applyFill="1"/>
    <xf numFmtId="44" fontId="0" fillId="0" borderId="0" xfId="0" applyNumberFormat="1"/>
    <xf numFmtId="164" fontId="0" fillId="18" borderId="0" xfId="0" applyNumberFormat="1" applyFill="1"/>
    <xf numFmtId="0" fontId="0" fillId="18" borderId="0" xfId="0" applyFill="1"/>
    <xf numFmtId="10" fontId="9" fillId="2" borderId="0" xfId="0" applyNumberFormat="1" applyFont="1" applyFill="1"/>
    <xf numFmtId="16" fontId="0" fillId="0" borderId="4" xfId="0" applyNumberFormat="1" applyBorder="1"/>
    <xf numFmtId="8" fontId="0" fillId="0" borderId="4" xfId="0" applyNumberFormat="1" applyBorder="1"/>
    <xf numFmtId="164" fontId="0" fillId="2" borderId="0" xfId="0" applyNumberFormat="1" applyFill="1" applyAlignment="1">
      <alignment horizontal="center"/>
    </xf>
    <xf numFmtId="0" fontId="0" fillId="3" borderId="4" xfId="0" applyFill="1" applyBorder="1" applyAlignment="1">
      <alignment horizontal="center"/>
    </xf>
    <xf numFmtId="164" fontId="5" fillId="4" borderId="0" xfId="0" applyNumberFormat="1" applyFont="1" applyFill="1"/>
    <xf numFmtId="164" fontId="1" fillId="2" borderId="0" xfId="0" applyNumberFormat="1" applyFont="1" applyFill="1"/>
    <xf numFmtId="166" fontId="5" fillId="3" borderId="0" xfId="3" applyNumberFormat="1" applyFont="1" applyFill="1"/>
    <xf numFmtId="0" fontId="5" fillId="0" borderId="0" xfId="0" applyFont="1" applyAlignment="1">
      <alignment horizontal="center"/>
    </xf>
    <xf numFmtId="4" fontId="5" fillId="0" borderId="0" xfId="0" applyNumberFormat="1" applyFont="1"/>
    <xf numFmtId="164" fontId="5" fillId="6" borderId="0" xfId="0" applyNumberFormat="1" applyFont="1" applyFill="1"/>
    <xf numFmtId="167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65" fontId="0" fillId="6" borderId="0" xfId="0" applyNumberFormat="1" applyFill="1"/>
    <xf numFmtId="16" fontId="0" fillId="6" borderId="0" xfId="0" applyNumberFormat="1" applyFill="1"/>
    <xf numFmtId="0" fontId="5" fillId="6" borderId="0" xfId="0" applyFont="1" applyFill="1"/>
    <xf numFmtId="165" fontId="5" fillId="6" borderId="0" xfId="0" applyNumberFormat="1" applyFont="1" applyFill="1"/>
    <xf numFmtId="0" fontId="0" fillId="6" borderId="0" xfId="0" applyFill="1" applyAlignment="1">
      <alignment horizontal="left"/>
    </xf>
    <xf numFmtId="0" fontId="5" fillId="6" borderId="0" xfId="2" applyFont="1" applyFill="1" applyBorder="1"/>
    <xf numFmtId="0" fontId="5" fillId="6" borderId="0" xfId="3" applyFont="1" applyFill="1"/>
    <xf numFmtId="16" fontId="0" fillId="6" borderId="11" xfId="0" applyNumberFormat="1" applyFill="1" applyBorder="1"/>
    <xf numFmtId="0" fontId="0" fillId="6" borderId="0" xfId="0" applyFill="1" applyAlignment="1">
      <alignment horizontal="center" vertical="center"/>
    </xf>
    <xf numFmtId="3" fontId="0" fillId="6" borderId="0" xfId="0" applyNumberFormat="1" applyFill="1"/>
    <xf numFmtId="4" fontId="0" fillId="6" borderId="0" xfId="0" applyNumberFormat="1" applyFill="1"/>
    <xf numFmtId="0" fontId="5" fillId="6" borderId="0" xfId="2" applyFont="1" applyFill="1"/>
    <xf numFmtId="166" fontId="5" fillId="6" borderId="0" xfId="3" applyNumberFormat="1" applyFont="1" applyFill="1"/>
    <xf numFmtId="3" fontId="5" fillId="6" borderId="0" xfId="2" applyNumberFormat="1" applyFont="1" applyFill="1"/>
    <xf numFmtId="4" fontId="5" fillId="6" borderId="0" xfId="2" applyNumberFormat="1" applyFont="1" applyFill="1"/>
    <xf numFmtId="164" fontId="5" fillId="6" borderId="0" xfId="2" applyNumberFormat="1" applyFont="1" applyFill="1"/>
    <xf numFmtId="16" fontId="5" fillId="6" borderId="0" xfId="0" applyNumberFormat="1" applyFont="1" applyFill="1"/>
    <xf numFmtId="0" fontId="0" fillId="6" borderId="5" xfId="1" applyFont="1" applyFill="1"/>
    <xf numFmtId="16" fontId="5" fillId="6" borderId="0" xfId="2" applyNumberFormat="1" applyFont="1" applyFill="1"/>
    <xf numFmtId="0" fontId="0" fillId="6" borderId="7" xfId="3" applyFont="1" applyFill="1" applyBorder="1"/>
    <xf numFmtId="16" fontId="5" fillId="6" borderId="7" xfId="5" applyNumberFormat="1" applyFont="1" applyFill="1"/>
    <xf numFmtId="0" fontId="5" fillId="6" borderId="7" xfId="5" applyFont="1" applyFill="1"/>
    <xf numFmtId="0" fontId="5" fillId="6" borderId="7" xfId="5" applyFont="1" applyFill="1" applyAlignment="1">
      <alignment horizontal="center"/>
    </xf>
    <xf numFmtId="3" fontId="5" fillId="6" borderId="7" xfId="5" applyNumberFormat="1" applyFont="1" applyFill="1"/>
    <xf numFmtId="4" fontId="5" fillId="6" borderId="7" xfId="5" applyNumberFormat="1" applyFont="1" applyFill="1"/>
    <xf numFmtId="164" fontId="5" fillId="6" borderId="7" xfId="5" applyNumberFormat="1" applyFont="1" applyFill="1"/>
    <xf numFmtId="0" fontId="0" fillId="6" borderId="0" xfId="3" applyFont="1" applyFill="1"/>
    <xf numFmtId="0" fontId="5" fillId="6" borderId="7" xfId="5" applyFont="1" applyFill="1" applyAlignment="1">
      <alignment horizontal="center" vertical="center"/>
    </xf>
    <xf numFmtId="165" fontId="5" fillId="6" borderId="0" xfId="3" applyNumberFormat="1" applyFont="1" applyFill="1"/>
    <xf numFmtId="165" fontId="5" fillId="6" borderId="7" xfId="5" applyNumberFormat="1" applyFont="1" applyFill="1"/>
    <xf numFmtId="167" fontId="5" fillId="6" borderId="0" xfId="0" applyNumberFormat="1" applyFont="1" applyFill="1"/>
    <xf numFmtId="0" fontId="5" fillId="6" borderId="0" xfId="0" applyFont="1" applyFill="1" applyAlignment="1">
      <alignment horizontal="center"/>
    </xf>
    <xf numFmtId="0" fontId="1" fillId="0" borderId="4" xfId="0" applyFont="1" applyBorder="1"/>
    <xf numFmtId="0" fontId="5" fillId="6" borderId="0" xfId="5" applyFont="1" applyFill="1" applyBorder="1"/>
    <xf numFmtId="0" fontId="5" fillId="6" borderId="0" xfId="2" applyFont="1" applyFill="1" applyAlignment="1">
      <alignment horizontal="center"/>
    </xf>
    <xf numFmtId="164" fontId="5" fillId="3" borderId="0" xfId="0" applyNumberFormat="1" applyFont="1" applyFill="1"/>
    <xf numFmtId="0" fontId="5" fillId="6" borderId="0" xfId="2" applyFont="1" applyFill="1" applyAlignment="1">
      <alignment horizontal="center" vertical="center"/>
    </xf>
    <xf numFmtId="16" fontId="16" fillId="6" borderId="0" xfId="0" applyNumberFormat="1" applyFont="1" applyFill="1"/>
    <xf numFmtId="0" fontId="5" fillId="6" borderId="0" xfId="0" applyFont="1" applyFill="1" applyAlignment="1">
      <alignment horizontal="left"/>
    </xf>
    <xf numFmtId="4" fontId="5" fillId="2" borderId="0" xfId="0" applyNumberFormat="1" applyFont="1" applyFill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3" borderId="4" xfId="0" applyFill="1" applyBorder="1"/>
    <xf numFmtId="164" fontId="0" fillId="3" borderId="4" xfId="0" applyNumberFormat="1" applyFill="1" applyBorder="1"/>
    <xf numFmtId="0" fontId="5" fillId="9" borderId="0" xfId="0" applyFont="1" applyFill="1"/>
    <xf numFmtId="4" fontId="5" fillId="3" borderId="0" xfId="0" applyNumberFormat="1" applyFont="1" applyFill="1"/>
    <xf numFmtId="0" fontId="5" fillId="4" borderId="0" xfId="0" applyFont="1" applyFill="1"/>
    <xf numFmtId="164" fontId="1" fillId="4" borderId="0" xfId="0" applyNumberFormat="1" applyFont="1" applyFill="1"/>
    <xf numFmtId="4" fontId="0" fillId="3" borderId="4" xfId="0" applyNumberFormat="1" applyFill="1" applyBorder="1"/>
    <xf numFmtId="164" fontId="0" fillId="2" borderId="4" xfId="0" applyNumberFormat="1" applyFill="1" applyBorder="1"/>
    <xf numFmtId="166" fontId="0" fillId="2" borderId="4" xfId="0" applyNumberFormat="1" applyFill="1" applyBorder="1"/>
    <xf numFmtId="164" fontId="5" fillId="3" borderId="0" xfId="6" applyNumberFormat="1" applyFont="1" applyFill="1"/>
    <xf numFmtId="164" fontId="5" fillId="3" borderId="0" xfId="6" applyNumberFormat="1" applyFont="1" applyFill="1" applyBorder="1"/>
    <xf numFmtId="164" fontId="5" fillId="0" borderId="0" xfId="6" applyNumberFormat="1" applyFont="1" applyFill="1"/>
    <xf numFmtId="164" fontId="5" fillId="3" borderId="4" xfId="6" applyNumberFormat="1" applyFont="1" applyFill="1" applyBorder="1"/>
    <xf numFmtId="0" fontId="0" fillId="0" borderId="16" xfId="0" applyBorder="1"/>
    <xf numFmtId="0" fontId="1" fillId="5" borderId="18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8" xfId="0" applyFont="1" applyBorder="1"/>
    <xf numFmtId="4" fontId="0" fillId="0" borderId="15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0" fontId="0" fillId="0" borderId="15" xfId="0" applyNumberFormat="1" applyBorder="1"/>
    <xf numFmtId="0" fontId="6" fillId="6" borderId="0" xfId="2" applyFont="1" applyFill="1"/>
    <xf numFmtId="164" fontId="9" fillId="6" borderId="0" xfId="0" applyNumberFormat="1" applyFont="1" applyFill="1"/>
    <xf numFmtId="10" fontId="9" fillId="6" borderId="0" xfId="0" applyNumberFormat="1" applyFont="1" applyFill="1"/>
    <xf numFmtId="16" fontId="0" fillId="18" borderId="0" xfId="0" applyNumberFormat="1" applyFill="1"/>
    <xf numFmtId="0" fontId="5" fillId="18" borderId="0" xfId="0" applyFont="1" applyFill="1" applyAlignment="1">
      <alignment horizontal="center"/>
    </xf>
    <xf numFmtId="4" fontId="5" fillId="18" borderId="0" xfId="0" applyNumberFormat="1" applyFont="1" applyFill="1"/>
    <xf numFmtId="164" fontId="5" fillId="18" borderId="0" xfId="6" applyNumberFormat="1" applyFont="1" applyFill="1"/>
    <xf numFmtId="165" fontId="0" fillId="18" borderId="0" xfId="0" applyNumberFormat="1" applyFill="1"/>
    <xf numFmtId="0" fontId="5" fillId="18" borderId="0" xfId="0" applyFont="1" applyFill="1"/>
    <xf numFmtId="4" fontId="0" fillId="11" borderId="0" xfId="0" applyNumberFormat="1" applyFill="1"/>
    <xf numFmtId="16" fontId="0" fillId="2" borderId="0" xfId="0" applyNumberFormat="1" applyFill="1"/>
    <xf numFmtId="165" fontId="0" fillId="2" borderId="0" xfId="0" applyNumberFormat="1" applyFill="1"/>
    <xf numFmtId="4" fontId="0" fillId="2" borderId="0" xfId="0" applyNumberFormat="1" applyFill="1"/>
    <xf numFmtId="0" fontId="5" fillId="2" borderId="0" xfId="0" applyFont="1" applyFill="1" applyAlignment="1">
      <alignment horizontal="center"/>
    </xf>
    <xf numFmtId="164" fontId="5" fillId="2" borderId="0" xfId="6" applyNumberFormat="1" applyFont="1" applyFill="1"/>
    <xf numFmtId="16" fontId="0" fillId="2" borderId="4" xfId="0" applyNumberFormat="1" applyFill="1" applyBorder="1"/>
    <xf numFmtId="4" fontId="0" fillId="2" borderId="4" xfId="0" applyNumberFormat="1" applyFill="1" applyBorder="1"/>
    <xf numFmtId="164" fontId="5" fillId="2" borderId="4" xfId="6" applyNumberFormat="1" applyFont="1" applyFill="1" applyBorder="1"/>
    <xf numFmtId="165" fontId="0" fillId="2" borderId="4" xfId="0" applyNumberFormat="1" applyFill="1" applyBorder="1"/>
    <xf numFmtId="169" fontId="0" fillId="0" borderId="0" xfId="0" applyNumberFormat="1"/>
    <xf numFmtId="164" fontId="0" fillId="19" borderId="0" xfId="0" applyNumberFormat="1" applyFill="1"/>
    <xf numFmtId="166" fontId="5" fillId="6" borderId="7" xfId="3" applyNumberFormat="1" applyFont="1" applyFill="1" applyBorder="1"/>
    <xf numFmtId="166" fontId="5" fillId="6" borderId="7" xfId="5" applyNumberFormat="1" applyFont="1" applyFill="1"/>
    <xf numFmtId="0" fontId="5" fillId="6" borderId="7" xfId="3" applyFont="1" applyFill="1" applyBorder="1"/>
    <xf numFmtId="166" fontId="0" fillId="6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9" fontId="0" fillId="0" borderId="0" xfId="0" applyNumberFormat="1" applyAlignment="1">
      <alignment horizontal="left"/>
    </xf>
    <xf numFmtId="0" fontId="0" fillId="11" borderId="0" xfId="0" applyFill="1" applyAlignment="1">
      <alignment horizontal="right"/>
    </xf>
    <xf numFmtId="0" fontId="0" fillId="11" borderId="1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1" fillId="5" borderId="0" xfId="0" applyFont="1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/>
    <xf numFmtId="0" fontId="1" fillId="0" borderId="16" xfId="0" applyFont="1" applyBorder="1"/>
    <xf numFmtId="0" fontId="1" fillId="0" borderId="22" xfId="0" applyFont="1" applyBorder="1"/>
    <xf numFmtId="0" fontId="0" fillId="0" borderId="15" xfId="0" applyBorder="1"/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1" fillId="0" borderId="20" xfId="0" applyFont="1" applyBorder="1"/>
    <xf numFmtId="0" fontId="0" fillId="0" borderId="9" xfId="0" applyBorder="1"/>
    <xf numFmtId="0" fontId="0" fillId="0" borderId="10" xfId="0" applyBorder="1"/>
    <xf numFmtId="1" fontId="0" fillId="0" borderId="0" xfId="0" applyNumberFormat="1"/>
    <xf numFmtId="1" fontId="0" fillId="0" borderId="12" xfId="0" applyNumberFormat="1" applyBorder="1"/>
    <xf numFmtId="168" fontId="0" fillId="0" borderId="0" xfId="0" applyNumberFormat="1"/>
    <xf numFmtId="168" fontId="0" fillId="0" borderId="12" xfId="0" applyNumberFormat="1" applyBorder="1"/>
    <xf numFmtId="168" fontId="0" fillId="0" borderId="4" xfId="0" applyNumberFormat="1" applyBorder="1"/>
    <xf numFmtId="168" fontId="0" fillId="0" borderId="14" xfId="0" applyNumberFormat="1" applyBorder="1"/>
    <xf numFmtId="0" fontId="17" fillId="0" borderId="0" xfId="0" applyFont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3" borderId="0" xfId="0" applyNumberFormat="1" applyFill="1"/>
    <xf numFmtId="0" fontId="0" fillId="3" borderId="0" xfId="0" applyFont="1" applyFill="1"/>
    <xf numFmtId="0" fontId="0" fillId="3" borderId="0" xfId="0" applyFill="1" applyAlignment="1">
      <alignment horizontal="right" vertic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18" borderId="0" xfId="0" applyFill="1" applyAlignment="1">
      <alignment horizontal="center"/>
    </xf>
    <xf numFmtId="4" fontId="0" fillId="18" borderId="0" xfId="0" applyNumberFormat="1" applyFill="1"/>
    <xf numFmtId="44" fontId="5" fillId="18" borderId="0" xfId="6" applyFont="1" applyFill="1"/>
    <xf numFmtId="0" fontId="0" fillId="19" borderId="0" xfId="0" applyFill="1"/>
    <xf numFmtId="4" fontId="0" fillId="19" borderId="0" xfId="0" applyNumberFormat="1" applyFill="1"/>
    <xf numFmtId="16" fontId="0" fillId="19" borderId="11" xfId="0" applyNumberFormat="1" applyFill="1" applyBorder="1"/>
    <xf numFmtId="16" fontId="0" fillId="19" borderId="0" xfId="0" applyNumberFormat="1" applyFill="1"/>
    <xf numFmtId="0" fontId="0" fillId="19" borderId="0" xfId="0" applyFill="1" applyAlignment="1">
      <alignment horizontal="center"/>
    </xf>
    <xf numFmtId="0" fontId="0" fillId="19" borderId="0" xfId="0" applyFill="1" applyAlignment="1">
      <alignment horizontal="center" vertical="center"/>
    </xf>
    <xf numFmtId="3" fontId="0" fillId="19" borderId="0" xfId="0" applyNumberFormat="1" applyFill="1"/>
    <xf numFmtId="166" fontId="0" fillId="19" borderId="0" xfId="0" applyNumberFormat="1" applyFill="1"/>
    <xf numFmtId="0" fontId="5" fillId="19" borderId="0" xfId="3" applyFont="1" applyFill="1"/>
    <xf numFmtId="164" fontId="5" fillId="19" borderId="0" xfId="3" applyNumberFormat="1" applyFont="1" applyFill="1"/>
    <xf numFmtId="165" fontId="0" fillId="19" borderId="0" xfId="0" applyNumberFormat="1" applyFill="1"/>
    <xf numFmtId="0" fontId="5" fillId="19" borderId="0" xfId="0" applyFont="1" applyFill="1"/>
    <xf numFmtId="165" fontId="5" fillId="19" borderId="0" xfId="0" applyNumberFormat="1" applyFont="1" applyFill="1"/>
    <xf numFmtId="0" fontId="0" fillId="19" borderId="0" xfId="0" applyFill="1" applyAlignment="1">
      <alignment horizontal="left"/>
    </xf>
    <xf numFmtId="164" fontId="5" fillId="19" borderId="0" xfId="0" applyNumberFormat="1" applyFont="1" applyFill="1"/>
    <xf numFmtId="167" fontId="0" fillId="19" borderId="0" xfId="0" applyNumberFormat="1" applyFill="1"/>
    <xf numFmtId="164" fontId="15" fillId="19" borderId="0" xfId="0" applyNumberFormat="1" applyFont="1" applyFill="1"/>
    <xf numFmtId="10" fontId="0" fillId="19" borderId="12" xfId="0" applyNumberFormat="1" applyFill="1" applyBorder="1"/>
    <xf numFmtId="0" fontId="5" fillId="19" borderId="0" xfId="2" applyFont="1" applyFill="1" applyBorder="1"/>
    <xf numFmtId="164" fontId="1" fillId="19" borderId="0" xfId="0" applyNumberFormat="1" applyFont="1" applyFill="1"/>
    <xf numFmtId="16" fontId="0" fillId="19" borderId="8" xfId="0" applyNumberFormat="1" applyFill="1" applyBorder="1"/>
    <xf numFmtId="165" fontId="0" fillId="19" borderId="9" xfId="0" applyNumberFormat="1" applyFill="1" applyBorder="1"/>
    <xf numFmtId="0" fontId="0" fillId="19" borderId="9" xfId="0" applyFill="1" applyBorder="1"/>
    <xf numFmtId="0" fontId="0" fillId="19" borderId="9" xfId="0" applyFill="1" applyBorder="1" applyAlignment="1">
      <alignment horizontal="center"/>
    </xf>
    <xf numFmtId="0" fontId="0" fillId="19" borderId="9" xfId="0" applyFill="1" applyBorder="1" applyAlignment="1">
      <alignment horizontal="center" vertical="center"/>
    </xf>
    <xf numFmtId="3" fontId="0" fillId="19" borderId="9" xfId="0" applyNumberFormat="1" applyFill="1" applyBorder="1"/>
    <xf numFmtId="4" fontId="0" fillId="19" borderId="9" xfId="0" applyNumberFormat="1" applyFill="1" applyBorder="1"/>
    <xf numFmtId="164" fontId="0" fillId="19" borderId="9" xfId="0" applyNumberFormat="1" applyFill="1" applyBorder="1"/>
    <xf numFmtId="164" fontId="0" fillId="19" borderId="9" xfId="0" applyNumberFormat="1" applyFill="1" applyBorder="1" applyAlignment="1">
      <alignment horizontal="center"/>
    </xf>
    <xf numFmtId="166" fontId="0" fillId="19" borderId="9" xfId="0" applyNumberFormat="1" applyFill="1" applyBorder="1"/>
    <xf numFmtId="0" fontId="5" fillId="19" borderId="9" xfId="0" applyFont="1" applyFill="1" applyBorder="1"/>
    <xf numFmtId="165" fontId="5" fillId="19" borderId="9" xfId="0" applyNumberFormat="1" applyFont="1" applyFill="1" applyBorder="1"/>
    <xf numFmtId="0" fontId="0" fillId="19" borderId="9" xfId="0" applyFill="1" applyBorder="1" applyAlignment="1">
      <alignment horizontal="left"/>
    </xf>
    <xf numFmtId="164" fontId="5" fillId="19" borderId="9" xfId="0" applyNumberFormat="1" applyFont="1" applyFill="1" applyBorder="1"/>
    <xf numFmtId="167" fontId="0" fillId="19" borderId="9" xfId="0" applyNumberFormat="1" applyFill="1" applyBorder="1"/>
    <xf numFmtId="164" fontId="15" fillId="19" borderId="9" xfId="0" applyNumberFormat="1" applyFont="1" applyFill="1" applyBorder="1"/>
    <xf numFmtId="10" fontId="0" fillId="19" borderId="10" xfId="0" applyNumberFormat="1" applyFill="1" applyBorder="1"/>
    <xf numFmtId="164" fontId="0" fillId="19" borderId="0" xfId="0" applyNumberFormat="1" applyFill="1" applyAlignment="1">
      <alignment horizontal="center"/>
    </xf>
    <xf numFmtId="10" fontId="0" fillId="19" borderId="0" xfId="0" applyNumberFormat="1" applyFill="1"/>
    <xf numFmtId="166" fontId="5" fillId="19" borderId="0" xfId="3" applyNumberFormat="1" applyFont="1" applyFill="1"/>
    <xf numFmtId="3" fontId="5" fillId="19" borderId="0" xfId="2" applyNumberFormat="1" applyFont="1" applyFill="1"/>
    <xf numFmtId="0" fontId="5" fillId="19" borderId="0" xfId="2" applyFont="1" applyFill="1"/>
    <xf numFmtId="4" fontId="5" fillId="19" borderId="0" xfId="2" applyNumberFormat="1" applyFont="1" applyFill="1"/>
    <xf numFmtId="164" fontId="5" fillId="19" borderId="0" xfId="2" applyNumberFormat="1" applyFont="1" applyFill="1"/>
    <xf numFmtId="0" fontId="0" fillId="2" borderId="0" xfId="0" applyNumberFormat="1" applyFill="1"/>
    <xf numFmtId="1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</cellXfs>
  <cellStyles count="7">
    <cellStyle name="Bad" xfId="2" builtinId="27"/>
    <cellStyle name="Currency" xfId="6" builtinId="4"/>
    <cellStyle name="Good" xfId="4" builtinId="26"/>
    <cellStyle name="Input" xfId="5" builtinId="20"/>
    <cellStyle name="Neutral" xfId="3" builtinId="2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4F540503-8E02-4328-B90B-B52799A121EE}">
    <Anchor>
      <Comment id="{74BB2C5D-E250-4272-A8D5-49A1A3865F13}"/>
    </Anchor>
    <History>
      <Event time="2026-08-12T19:34:24.95" id="{3E092C6D-A04C-42C6-A875-AE468E9F72DA}">
        <Attribution userId="S::Josh@CastRightCatch.com::15e052aa-0067-429e-9d22-bd0f357f0129" userName="Joshua Watts" userProvider="AD"/>
        <Anchor>
          <Comment id="{74BB2C5D-E250-4272-A8D5-49A1A3865F13}"/>
        </Anchor>
        <Create/>
      </Event>
      <Event time="2026-08-12T19:34:24.95" id="{F3D5707A-412A-400D-80D6-A7D6F87F009A}">
        <Attribution userId="S::Josh@CastRightCatch.com::15e052aa-0067-429e-9d22-bd0f357f0129" userName="Joshua Watts" userProvider="AD"/>
        <Anchor>
          <Comment id="{74BB2C5D-E250-4272-A8D5-49A1A3865F13}"/>
        </Anchor>
        <Assign userId="S::KBarnes@CastRightCatch.com::52960749-ba8c-4de2-a09d-754c8906b27e" userName="Kristen Barnes" userProvider="AD"/>
      </Event>
      <Event time="2026-08-12T19:34:24.95" id="{DD64914E-88BB-408E-90A7-758D9D571C3E}">
        <Attribution userId="S::Josh@CastRightCatch.com::15e052aa-0067-429e-9d22-bd0f357f0129" userName="Joshua Watts" userProvider="AD"/>
        <Anchor>
          <Comment id="{74BB2C5D-E250-4272-A8D5-49A1A3865F13}"/>
        </Anchor>
        <SetTitle title="@Kristen Barnes Asked multiple times. Can’t come up with it. "/>
      </Event>
    </History>
  </Task>
  <Task id="{D28E1417-EB27-461D-854B-10238260CA48}">
    <Anchor>
      <Comment id="{CFED1039-87AC-416C-8AA7-377DC5FEC783}"/>
    </Anchor>
    <History>
      <Event time="2026-07-24T20:04:04.36" id="{7088FE01-A471-4B21-A2C9-DDCE87829479}">
        <Attribution userId="S::Josh@CastRightCatch.com::15e052aa-0067-429e-9d22-bd0f357f0129" userName="Joshua Watts" userProvider="AD"/>
        <Anchor>
          <Comment id="{CFED1039-87AC-416C-8AA7-377DC5FEC783}"/>
        </Anchor>
        <Create/>
      </Event>
      <Event time="2026-07-24T20:04:04.36" id="{EB1FB839-5C7B-455F-B548-D95E150E84A9}">
        <Attribution userId="S::Josh@CastRightCatch.com::15e052aa-0067-429e-9d22-bd0f357f0129" userName="Joshua Watts" userProvider="AD"/>
        <Anchor>
          <Comment id="{CFED1039-87AC-416C-8AA7-377DC5FEC783}"/>
        </Anchor>
        <Assign userId="S::jwatts@CastRightCatch.com::3eeb73a9-a319-426a-9023-39a3e76d631b" userName="Jenifer Watts" userProvider="AD"/>
      </Event>
      <Event time="2026-07-24T20:04:04.36" id="{A3E6AABA-36C8-4CD1-8242-2AD0CF9AED83}">
        <Attribution userId="S::Josh@CastRightCatch.com::15e052aa-0067-429e-9d22-bd0f357f0129" userName="Joshua Watts" userProvider="AD"/>
        <Anchor>
          <Comment id="{CFED1039-87AC-416C-8AA7-377DC5FEC783}"/>
        </Anchor>
        <SetTitle title="@Jenifer Watts 251.86 approved for payment. Previous invoice has 3 more pallets than we are supposed to have been billed."/>
      </Event>
    </History>
  </Task>
  <Task id="{195A132A-E24F-467D-A3B5-F5821CE4F0B4}">
    <Anchor>
      <Comment id="{EF50E6B5-EA4F-4AFB-99B4-E4AD0AB7332F}"/>
    </Anchor>
    <History>
      <Event time="2026-07-22T19:03:28.22" id="{0443F3EB-D893-42E2-9008-43AEB0C0D4BE}">
        <Attribution userId="S::Josh@CastRightCatch.com::15e052aa-0067-429e-9d22-bd0f357f0129" userName="Joshua Watts" userProvider="AD"/>
        <Anchor>
          <Comment id="{EF50E6B5-EA4F-4AFB-99B4-E4AD0AB7332F}"/>
        </Anchor>
        <Create/>
      </Event>
      <Event time="2026-07-22T19:03:28.22" id="{B8CADB29-5E95-45BA-B7A2-A1961120CAA2}">
        <Attribution userId="S::Josh@CastRightCatch.com::15e052aa-0067-429e-9d22-bd0f357f0129" userName="Joshua Watts" userProvider="AD"/>
        <Anchor>
          <Comment id="{EF50E6B5-EA4F-4AFB-99B4-E4AD0AB7332F}"/>
        </Anchor>
        <Assign userId="S::jwatts@CastRightCatch.com::3eeb73a9-a319-426a-9023-39a3e76d631b" userName="Jenifer Watts" userProvider="AD"/>
      </Event>
      <Event time="2026-07-22T19:03:28.22" id="{836AAD7C-687C-4C83-BDBF-A01C885988D0}">
        <Attribution userId="S::Josh@CastRightCatch.com::15e052aa-0067-429e-9d22-bd0f357f0129" userName="Joshua Watts" userProvider="AD"/>
        <Anchor>
          <Comment id="{EF50E6B5-EA4F-4AFB-99B4-E4AD0AB7332F}"/>
        </Anchor>
        <SetTitle title="@Jenifer Watts original invoice has 4 pallets. Only 2 approved. $174.00 total is approved "/>
      </Event>
    </History>
  </Task>
  <Task id="{28416643-FD57-44D2-AEDD-0B95FFA2005D}">
    <Anchor>
      <Comment id="{2AE88532-B713-4441-B904-D3B094656D59}"/>
    </Anchor>
    <History>
      <Event time="2026-08-17T18:07:45.95" id="{8EE8F93B-EA44-4272-8E0D-5A1F81B96067}">
        <Attribution userId="S::Josh@CastRightCatch.com::15e052aa-0067-429e-9d22-bd0f357f0129" userName="Joshua Watts" userProvider="AD"/>
        <Anchor>
          <Comment id="{2AE88532-B713-4441-B904-D3B094656D59}"/>
        </Anchor>
        <Create/>
      </Event>
      <Event time="2026-08-17T18:07:45.95" id="{00A07A6A-B564-4D8B-BBFD-C0DD2E25C677}">
        <Attribution userId="S::Josh@CastRightCatch.com::15e052aa-0067-429e-9d22-bd0f357f0129" userName="Joshua Watts" userProvider="AD"/>
        <Anchor>
          <Comment id="{2AE88532-B713-4441-B904-D3B094656D59}"/>
        </Anchor>
        <Assign userId="S::KBarnes@CastRightCatch.com::52960749-ba8c-4de2-a09d-754c8906b27e" userName="Kristen Barnes" userProvider="AD"/>
      </Event>
      <Event time="2026-08-17T18:07:45.95" id="{92251EE1-D4DE-4746-AB35-64A6306D4437}">
        <Attribution userId="S::Josh@CastRightCatch.com::15e052aa-0067-429e-9d22-bd0f357f0129" userName="Joshua Watts" userProvider="AD"/>
        <Anchor>
          <Comment id="{2AE88532-B713-4441-B904-D3B094656D59}"/>
        </Anchor>
        <SetTitle title="@Kristen Barnes @Jenifer Watts approved by supplier"/>
      </Event>
    </History>
  </Task>
  <Task id="{CA82EB56-A2E7-4FF1-B8B2-340CE0B719B7}">
    <Anchor>
      <Comment id="{D8F93143-DD3B-4859-BE17-EAFAF80484D4}"/>
    </Anchor>
    <History>
      <Event time="2026-07-22T17:15:50.99" id="{4F46B756-9D48-420C-9833-ACBA37E5EA9B}">
        <Attribution userId="S::Josh@CastRightCatch.com::15e052aa-0067-429e-9d22-bd0f357f0129" userName="Joshua Watts" userProvider="AD"/>
        <Anchor>
          <Comment id="{D8F93143-DD3B-4859-BE17-EAFAF80484D4}"/>
        </Anchor>
        <Create/>
      </Event>
      <Event time="2026-07-22T17:15:50.99" id="{B0DABB03-15E0-4916-93CF-8294AAB81551}">
        <Attribution userId="S::Josh@CastRightCatch.com::15e052aa-0067-429e-9d22-bd0f357f0129" userName="Joshua Watts" userProvider="AD"/>
        <Anchor>
          <Comment id="{D8F93143-DD3B-4859-BE17-EAFAF80484D4}"/>
        </Anchor>
        <Assign userId="S::jwatts@CastRightCatch.com::3eeb73a9-a319-426a-9023-39a3e76d631b" userName="Jenifer Watts" userProvider="AD"/>
      </Event>
      <Event time="2026-07-22T17:15:50.99" id="{34056DCC-350A-479C-ABFC-0B92B9B94EA3}">
        <Attribution userId="S::Josh@CastRightCatch.com::15e052aa-0067-429e-9d22-bd0f357f0129" userName="Joshua Watts" userProvider="AD"/>
        <Anchor>
          <Comment id="{D8F93143-DD3B-4859-BE17-EAFAF80484D4}"/>
        </Anchor>
        <SetTitle title="@Jenifer Watts only approving 174.00 as 2 pallets came in and 4 pallets went out. Should only be charged for 2 pallets "/>
      </Event>
    </History>
  </Task>
  <Task id="{5EFA5F6B-0F89-4601-827D-697B745D018F}">
    <Anchor>
      <Comment id="{4C7AFE25-B3B7-4BE5-B8F7-481F57C2DF35}"/>
    </Anchor>
    <History>
      <Event time="2026-07-22T17:01:01.39" id="{7AB0442D-A8D4-4817-9EED-160120A7FAE9}">
        <Attribution userId="S::Josh@CastRightCatch.com::15e052aa-0067-429e-9d22-bd0f357f0129" userName="Joshua Watts" userProvider="AD"/>
        <Anchor>
          <Comment id="{4C7AFE25-B3B7-4BE5-B8F7-481F57C2DF35}"/>
        </Anchor>
        <Create/>
      </Event>
      <Event time="2026-07-22T17:01:01.39" id="{E9C114DB-EFC3-46E1-A13B-303793CCEC25}">
        <Attribution userId="S::Josh@CastRightCatch.com::15e052aa-0067-429e-9d22-bd0f357f0129" userName="Joshua Watts" userProvider="AD"/>
        <Anchor>
          <Comment id="{4C7AFE25-B3B7-4BE5-B8F7-481F57C2DF35}"/>
        </Anchor>
        <Assign userId="S::jwatts@CastRightCatch.com::3eeb73a9-a319-426a-9023-39a3e76d631b" userName="Jenifer Watts" userProvider="AD"/>
      </Event>
      <Event time="2026-07-22T17:01:01.39" id="{A13C33E7-25C3-433F-9211-2134FFD7CBF8}">
        <Attribution userId="S::Josh@CastRightCatch.com::15e052aa-0067-429e-9d22-bd0f357f0129" userName="Joshua Watts" userProvider="AD"/>
        <Anchor>
          <Comment id="{4C7AFE25-B3B7-4BE5-B8F7-481F57C2DF35}"/>
        </Anchor>
        <SetTitle title="@Jenifer Watts approved to pay $150.00. I am asking them to remove pallet charge as no extra pallets were needed. 2 in and 2 out. 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8</xdr:col>
      <xdr:colOff>457774</xdr:colOff>
      <xdr:row>17</xdr:row>
      <xdr:rowOff>72764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3DB83-95D4-C6BC-3196-6485CA820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4525" y="1085850"/>
          <a:ext cx="4115374" cy="2676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0</xdr:row>
      <xdr:rowOff>0</xdr:rowOff>
    </xdr:from>
    <xdr:to>
      <xdr:col>8</xdr:col>
      <xdr:colOff>718185</xdr:colOff>
      <xdr:row>6</xdr:row>
      <xdr:rowOff>154305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A41F5DA7-E0D5-64BB-6E21-FCFF0BCB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290" y="0"/>
          <a:ext cx="3032760" cy="1249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0</xdr:row>
      <xdr:rowOff>0</xdr:rowOff>
    </xdr:from>
    <xdr:to>
      <xdr:col>8</xdr:col>
      <xdr:colOff>245745</xdr:colOff>
      <xdr:row>6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627271E-AFC9-42E5-88DD-565D26E8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0"/>
          <a:ext cx="3019425" cy="1259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C7D1C2E-4B92-4CB6-BAFD-440C0C8EB1F7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A8B1618-9040-4423-80B4-66385368DD34}">
    <nsvFilter filterId="{CCDF5237-1140-4A99-8364-4C85CF274912}" ref="A1:P1" tableId="0">
      <sortRules>
        <sortRule colId="0">
          <sortCondition ref="A1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enifer Watts" id="{9B486132-5158-48E7-9418-59ED2377C81B}" userId="jwatts@CastRightCatch.com" providerId="PeoplePicker"/>
  <person displayName="Kristen Barnes" id="{42AA6F29-F0D2-4760-95C4-817E4C3D24F0}" userId="KBarnes@CastRightCatch.com" providerId="PeoplePicker"/>
  <person displayName="Joshua Watts" id="{C5D252F8-8D28-4D38-A092-045D21FD4761}" userId="S::Josh@CastRightCatch.com::15e052aa-0067-429e-9d22-bd0f357f0129" providerId="AD"/>
  <person displayName="Kristen Barnes" id="{D275809B-5A9A-46E4-9A28-BF88255463C9}" userId="S::KBarnes@CastRightCatch.com::52960749-ba8c-4de2-a09d-754c8906b2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8" dT="2026-07-22T19:03:28.22" personId="{C5D252F8-8D28-4D38-A092-045D21FD4761}" id="{EF50E6B5-EA4F-4AFB-99B4-E4AD0AB7332F}">
    <text xml:space="preserve">@Jenifer Watts  original invoice has 4 pallets.  Only 2 approved.  $174.00 total is approved </text>
    <mentions>
      <mention mentionpersonId="{9B486132-5158-48E7-9418-59ED2377C81B}" mentionId="{91F03B57-FF23-416F-869C-6B539317B51F}" startIndex="0" length="14"/>
    </mentions>
  </threadedComment>
  <threadedComment ref="V32" dT="2026-08-12T19:34:24.95" personId="{C5D252F8-8D28-4D38-A092-045D21FD4761}" id="{74BB2C5D-E250-4272-A8D5-49A1A3865F13}">
    <text xml:space="preserve">@Kristen Barnes Asked multiple times.  Can’t come up with it.  </text>
    <mentions>
      <mention mentionpersonId="{42AA6F29-F0D2-4760-95C4-817E4C3D24F0}" mentionId="{90822E92-2BB6-4D44-ACD3-2FEC519054A5}" startIndex="0" length="15"/>
    </mentions>
  </threadedComment>
  <threadedComment ref="Z37" dT="2026-07-22T17:01:01.39" personId="{C5D252F8-8D28-4D38-A092-045D21FD4761}" id="{4C7AFE25-B3B7-4BE5-B8F7-481F57C2DF35}">
    <text xml:space="preserve">@Jenifer Watts  approved to pay $150.00.  I am asking them to remove pallet charge as no extra pallets were needed.  2 in and 2 out. </text>
    <mentions>
      <mention mentionpersonId="{9B486132-5158-48E7-9418-59ED2377C81B}" mentionId="{371E3EE6-D8BB-4F4E-B0EA-2A0CBE98BE22}" startIndex="0" length="14"/>
    </mentions>
  </threadedComment>
  <threadedComment ref="Z49" dT="2026-07-24T20:04:04.36" personId="{C5D252F8-8D28-4D38-A092-045D21FD4761}" id="{CFED1039-87AC-416C-8AA7-377DC5FEC783}">
    <text>@Jenifer Watts 251.86 approved for payment.  Previous invoice has 3 more pallets than we are supposed to have been billed.</text>
    <mentions>
      <mention mentionpersonId="{9B486132-5158-48E7-9418-59ED2377C81B}" mentionId="{67DF78EF-69E0-481F-86BC-C4F91A97486E}" startIndex="0" length="14"/>
    </mentions>
  </threadedComment>
  <threadedComment ref="AB53" dT="2026-07-22T17:15:50.99" personId="{C5D252F8-8D28-4D38-A092-045D21FD4761}" id="{D8F93143-DD3B-4859-BE17-EAFAF80484D4}">
    <text xml:space="preserve">@Jenifer Watts  only approving 174.00 as 2 pallets came in and 4 pallets went out.  Should only be charged for 2 pallets </text>
    <mentions>
      <mention mentionpersonId="{9B486132-5158-48E7-9418-59ED2377C81B}" mentionId="{4E5D3D38-AA3A-43A8-AB13-8FF67E187B24}" startIndex="0" length="14"/>
    </mentions>
  </threadedComment>
  <threadedComment ref="AJ101" dT="2026-08-17T18:07:45.96" personId="{C5D252F8-8D28-4D38-A092-045D21FD4761}" id="{2AE88532-B713-4441-B904-D3B094656D59}">
    <text>@Kristen Barnes @Jenifer Watts  approved by supplier</text>
    <mentions>
      <mention mentionpersonId="{42AA6F29-F0D2-4760-95C4-817E4C3D24F0}" mentionId="{F7CD0FD4-8E53-4DEE-9D57-75230FBF5A02}" startIndex="0" length="15"/>
      <mention mentionpersonId="{9B486132-5158-48E7-9418-59ED2377C81B}" mentionId="{31A3B411-B51B-45E2-8492-B0AFA3642914}" startIndex="16" length="14"/>
    </mentions>
  </threadedComment>
  <threadedComment ref="P127" dT="2026-08-25T18:51:31.48" personId="{D275809B-5A9A-46E4-9A28-BF88255463C9}" id="{59D2895B-D4DA-411F-8380-08E61C3E1590}">
    <text>@Jenifer Watts this has the $42 credit</text>
    <mentions>
      <mention mentionpersonId="{9B486132-5158-48E7-9418-59ED2377C81B}" mentionId="{CBA00076-4094-4A99-BF67-E0744D95B980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E98F-87FE-4631-B04E-6D13C6A2EA6B}">
  <dimension ref="A1:BF177"/>
  <sheetViews>
    <sheetView tabSelected="1" topLeftCell="K87" zoomScaleNormal="100" workbookViewId="0">
      <selection activeCell="S102" sqref="S102"/>
    </sheetView>
  </sheetViews>
  <sheetFormatPr defaultRowHeight="14.4" x14ac:dyDescent="0.3"/>
  <cols>
    <col min="1" max="1" width="13.33203125" customWidth="1"/>
    <col min="2" max="4" width="12.5546875" customWidth="1"/>
    <col min="5" max="5" width="14" customWidth="1"/>
    <col min="6" max="6" width="16.6640625" customWidth="1"/>
    <col min="7" max="7" width="8.88671875" customWidth="1"/>
    <col min="8" max="8" width="28.33203125" customWidth="1"/>
    <col min="9" max="9" width="10.109375" customWidth="1"/>
    <col min="10" max="10" width="8.88671875" style="2" customWidth="1"/>
    <col min="11" max="11" width="23.33203125" customWidth="1"/>
    <col min="12" max="12" width="11.44140625" customWidth="1"/>
    <col min="13" max="13" width="12.33203125" customWidth="1"/>
    <col min="14" max="14" width="11.44140625" style="37" customWidth="1"/>
    <col min="15" max="15" width="10.33203125" customWidth="1"/>
    <col min="16" max="16" width="17.6640625" customWidth="1"/>
    <col min="17" max="17" width="11.109375" style="1" customWidth="1"/>
    <col min="18" max="18" width="13.6640625" style="1" customWidth="1"/>
    <col min="19" max="19" width="12" customWidth="1"/>
    <col min="20" max="20" width="12" style="1" customWidth="1"/>
    <col min="21" max="21" width="12" customWidth="1"/>
    <col min="22" max="22" width="12" style="2" customWidth="1"/>
    <col min="23" max="23" width="12" customWidth="1"/>
    <col min="24" max="24" width="14.33203125" customWidth="1"/>
    <col min="25" max="28" width="11" customWidth="1"/>
    <col min="29" max="29" width="14.109375" customWidth="1"/>
    <col min="30" max="30" width="11.5546875" style="1" customWidth="1"/>
    <col min="31" max="31" width="9.5546875" customWidth="1"/>
    <col min="32" max="32" width="11.109375" customWidth="1"/>
    <col min="33" max="33" width="12.5546875" customWidth="1"/>
    <col min="34" max="34" width="12.44140625" customWidth="1"/>
    <col min="35" max="35" width="11.5546875" customWidth="1"/>
    <col min="36" max="36" width="12.33203125" customWidth="1"/>
    <col min="37" max="37" width="12.5546875" customWidth="1"/>
    <col min="38" max="38" width="13.88671875" customWidth="1"/>
    <col min="39" max="39" width="16.33203125" customWidth="1"/>
    <col min="40" max="40" width="21.5546875" style="58" customWidth="1"/>
    <col min="41" max="41" width="12.5546875" customWidth="1"/>
    <col min="42" max="42" width="12.88671875" customWidth="1"/>
    <col min="43" max="43" width="13.5546875" customWidth="1"/>
    <col min="44" max="44" width="13.5546875" style="51" customWidth="1"/>
    <col min="45" max="49" width="13.5546875" customWidth="1"/>
    <col min="50" max="50" width="12.88671875" customWidth="1"/>
    <col min="51" max="51" width="13.6640625" customWidth="1"/>
    <col min="52" max="52" width="11.88671875" customWidth="1"/>
  </cols>
  <sheetData>
    <row r="1" spans="1:52" ht="15" thickBot="1" x14ac:dyDescent="0.35">
      <c r="A1" s="32" t="s">
        <v>177</v>
      </c>
    </row>
    <row r="2" spans="1:52" ht="41.7" customHeight="1" thickBot="1" x14ac:dyDescent="0.35">
      <c r="A2" s="7" t="s">
        <v>11</v>
      </c>
      <c r="B2" s="8" t="s">
        <v>47</v>
      </c>
      <c r="C2" s="8" t="s">
        <v>1</v>
      </c>
      <c r="D2" s="8" t="s">
        <v>22</v>
      </c>
      <c r="E2" s="8" t="s">
        <v>4</v>
      </c>
      <c r="F2" s="8" t="s">
        <v>37</v>
      </c>
      <c r="G2" s="8" t="s">
        <v>39</v>
      </c>
      <c r="H2" s="8" t="s">
        <v>8</v>
      </c>
      <c r="I2" s="8" t="s">
        <v>9</v>
      </c>
      <c r="J2" s="8" t="s">
        <v>28</v>
      </c>
      <c r="K2" s="8" t="s">
        <v>5</v>
      </c>
      <c r="L2" s="8" t="s">
        <v>29</v>
      </c>
      <c r="M2" s="8" t="s">
        <v>30</v>
      </c>
      <c r="N2" s="38" t="s">
        <v>21</v>
      </c>
      <c r="O2" s="8" t="s">
        <v>20</v>
      </c>
      <c r="P2" s="8" t="s">
        <v>6</v>
      </c>
      <c r="Q2" s="62" t="s">
        <v>17</v>
      </c>
      <c r="R2" s="62" t="s">
        <v>7</v>
      </c>
      <c r="S2" s="8" t="s">
        <v>10</v>
      </c>
      <c r="T2" s="62" t="s">
        <v>38</v>
      </c>
      <c r="U2" s="8" t="s">
        <v>48</v>
      </c>
      <c r="V2" s="8" t="s">
        <v>52</v>
      </c>
      <c r="W2" s="8" t="s">
        <v>49</v>
      </c>
      <c r="X2" s="8" t="s">
        <v>50</v>
      </c>
      <c r="Y2" s="8" t="s">
        <v>137</v>
      </c>
      <c r="Z2" s="8" t="s">
        <v>143</v>
      </c>
      <c r="AA2" s="8" t="s">
        <v>138</v>
      </c>
      <c r="AB2" s="8" t="s">
        <v>139</v>
      </c>
      <c r="AC2" s="8" t="s">
        <v>16</v>
      </c>
      <c r="AD2" s="62" t="s">
        <v>105</v>
      </c>
      <c r="AE2" s="8" t="s">
        <v>18</v>
      </c>
      <c r="AF2" s="8" t="s">
        <v>0</v>
      </c>
      <c r="AG2" s="8" t="s">
        <v>12</v>
      </c>
      <c r="AH2" s="8" t="s">
        <v>23</v>
      </c>
      <c r="AI2" s="8" t="s">
        <v>22</v>
      </c>
      <c r="AJ2" s="8" t="s">
        <v>283</v>
      </c>
      <c r="AK2" s="8" t="s">
        <v>222</v>
      </c>
      <c r="AL2" s="8" t="s">
        <v>41</v>
      </c>
      <c r="AM2" s="8" t="s">
        <v>13</v>
      </c>
      <c r="AN2" s="59" t="s">
        <v>14</v>
      </c>
      <c r="AO2" s="8" t="s">
        <v>36</v>
      </c>
      <c r="AP2" s="8" t="s">
        <v>19</v>
      </c>
      <c r="AQ2" s="8" t="s">
        <v>7</v>
      </c>
      <c r="AR2" s="52" t="s">
        <v>282</v>
      </c>
      <c r="AS2" s="8" t="s">
        <v>314</v>
      </c>
      <c r="AT2" s="8" t="s">
        <v>266</v>
      </c>
      <c r="AU2" s="8" t="s">
        <v>2</v>
      </c>
      <c r="AV2" s="8" t="s">
        <v>269</v>
      </c>
      <c r="AW2" s="8" t="s">
        <v>268</v>
      </c>
      <c r="AX2" s="8" t="s">
        <v>25</v>
      </c>
      <c r="AY2" s="8" t="s">
        <v>24</v>
      </c>
      <c r="AZ2" s="9" t="s">
        <v>15</v>
      </c>
    </row>
    <row r="3" spans="1:52" x14ac:dyDescent="0.3">
      <c r="A3" s="267">
        <v>46188</v>
      </c>
      <c r="B3" s="268">
        <v>46192</v>
      </c>
      <c r="C3" s="269" t="s">
        <v>45</v>
      </c>
      <c r="D3" s="268">
        <v>46190</v>
      </c>
      <c r="E3" s="269" t="s">
        <v>46</v>
      </c>
      <c r="F3" s="269">
        <v>645827</v>
      </c>
      <c r="G3" s="269" t="s">
        <v>40</v>
      </c>
      <c r="H3" s="269" t="s">
        <v>33</v>
      </c>
      <c r="I3" s="269" t="s">
        <v>34</v>
      </c>
      <c r="J3" s="270" t="s">
        <v>43</v>
      </c>
      <c r="K3" s="271" t="s">
        <v>44</v>
      </c>
      <c r="L3" s="269" t="s">
        <v>31</v>
      </c>
      <c r="M3" s="269" t="s">
        <v>32</v>
      </c>
      <c r="N3" s="272">
        <v>1799</v>
      </c>
      <c r="O3" s="273">
        <v>22</v>
      </c>
      <c r="P3" s="273">
        <f>O3*N3</f>
        <v>39578</v>
      </c>
      <c r="Q3" s="274">
        <v>1.6</v>
      </c>
      <c r="R3" s="274">
        <f>Q3*P3</f>
        <v>63324.800000000003</v>
      </c>
      <c r="S3" s="274">
        <v>0.05</v>
      </c>
      <c r="T3" s="274">
        <f>S3*P3</f>
        <v>1978.9</v>
      </c>
      <c r="U3" s="274" t="s">
        <v>51</v>
      </c>
      <c r="V3" s="275" t="s">
        <v>203</v>
      </c>
      <c r="W3" s="274">
        <v>4000</v>
      </c>
      <c r="X3" s="276">
        <f>W3/P3</f>
        <v>0.10106624892617111</v>
      </c>
      <c r="Y3" s="276">
        <v>0</v>
      </c>
      <c r="Z3" s="276"/>
      <c r="AA3" s="276" t="s">
        <v>26</v>
      </c>
      <c r="AB3" s="269" t="s">
        <v>26</v>
      </c>
      <c r="AC3" s="274">
        <f>R3+T3+W3+AD3+Y3</f>
        <v>69333.700000000012</v>
      </c>
      <c r="AD3" s="274">
        <v>30</v>
      </c>
      <c r="AE3" s="276">
        <f t="shared" ref="AE3:AE11" si="0">AC3/P3</f>
        <v>1.7518242457931177</v>
      </c>
      <c r="AF3" s="268">
        <v>46192</v>
      </c>
      <c r="AG3" s="268">
        <v>46196</v>
      </c>
      <c r="AH3" s="277">
        <v>30</v>
      </c>
      <c r="AI3" s="278">
        <f t="shared" ref="AI3:AI11" si="1">AH3+AF3</f>
        <v>46222</v>
      </c>
      <c r="AJ3" s="277" t="s">
        <v>500</v>
      </c>
      <c r="AK3" s="269">
        <v>10001</v>
      </c>
      <c r="AL3" s="274" t="s">
        <v>42</v>
      </c>
      <c r="AM3" s="269" t="s">
        <v>35</v>
      </c>
      <c r="AN3" s="279">
        <v>400582</v>
      </c>
      <c r="AO3" s="269">
        <v>1002</v>
      </c>
      <c r="AP3" s="280">
        <v>2.5</v>
      </c>
      <c r="AQ3" s="274">
        <f t="shared" ref="AQ3:AQ11" si="2">AP3*P3</f>
        <v>98945</v>
      </c>
      <c r="AR3" s="281">
        <v>46230</v>
      </c>
      <c r="AS3" s="269" t="s">
        <v>487</v>
      </c>
      <c r="AT3" s="282">
        <v>98945</v>
      </c>
      <c r="AU3" s="274">
        <f>AT3-AQ3</f>
        <v>0</v>
      </c>
      <c r="AV3" s="274"/>
      <c r="AW3" s="274">
        <f>AT3</f>
        <v>98945</v>
      </c>
      <c r="AX3" s="276">
        <f t="shared" ref="AX3:AX11" si="3">AP3-AE3</f>
        <v>0.74817575420688232</v>
      </c>
      <c r="AY3" s="274">
        <f t="shared" ref="AY3:AY11" si="4">AQ3-AC3</f>
        <v>29611.299999999988</v>
      </c>
      <c r="AZ3" s="283">
        <f t="shared" ref="AZ3:AZ11" si="5">AX3/AE3</f>
        <v>0.42708379907606236</v>
      </c>
    </row>
    <row r="4" spans="1:52" x14ac:dyDescent="0.3">
      <c r="A4" s="121">
        <v>46188</v>
      </c>
      <c r="B4" s="115">
        <v>46192</v>
      </c>
      <c r="C4" s="112" t="s">
        <v>45</v>
      </c>
      <c r="D4" s="115">
        <v>46190</v>
      </c>
      <c r="E4" s="112" t="s">
        <v>46</v>
      </c>
      <c r="F4" s="112">
        <v>645827</v>
      </c>
      <c r="G4" s="112" t="s">
        <v>40</v>
      </c>
      <c r="H4" s="112" t="s">
        <v>33</v>
      </c>
      <c r="I4" s="112" t="s">
        <v>34</v>
      </c>
      <c r="J4" s="113" t="s">
        <v>43</v>
      </c>
      <c r="K4" s="122" t="s">
        <v>44</v>
      </c>
      <c r="L4" s="112" t="s">
        <v>31</v>
      </c>
      <c r="M4" s="112" t="s">
        <v>32</v>
      </c>
      <c r="N4" s="123">
        <v>1</v>
      </c>
      <c r="O4" s="112">
        <v>22</v>
      </c>
      <c r="P4" s="112">
        <v>22</v>
      </c>
      <c r="Q4" s="71">
        <v>1.6</v>
      </c>
      <c r="R4" s="71">
        <f>Q4*P4</f>
        <v>35.200000000000003</v>
      </c>
      <c r="S4" s="71">
        <v>0.05</v>
      </c>
      <c r="T4" s="71">
        <f>S4*P4</f>
        <v>1.1000000000000001</v>
      </c>
      <c r="U4" s="112" t="s">
        <v>26</v>
      </c>
      <c r="V4" s="79" t="s">
        <v>53</v>
      </c>
      <c r="W4" s="71">
        <v>0</v>
      </c>
      <c r="X4" s="72">
        <v>0</v>
      </c>
      <c r="Y4" s="72">
        <v>0</v>
      </c>
      <c r="Z4" s="72"/>
      <c r="AA4" s="72" t="s">
        <v>26</v>
      </c>
      <c r="AB4" s="112" t="s">
        <v>26</v>
      </c>
      <c r="AC4" s="71">
        <f t="shared" ref="AC4:AC11" si="6">R4+T4+W4+Y4+AD4</f>
        <v>36.300000000000004</v>
      </c>
      <c r="AD4" s="71"/>
      <c r="AE4" s="72">
        <f t="shared" si="0"/>
        <v>1.6500000000000001</v>
      </c>
      <c r="AF4" s="114">
        <v>46192</v>
      </c>
      <c r="AG4" s="115">
        <v>46196</v>
      </c>
      <c r="AH4" s="116">
        <v>90</v>
      </c>
      <c r="AI4" s="117">
        <f t="shared" si="1"/>
        <v>46282</v>
      </c>
      <c r="AJ4" s="81">
        <f t="shared" ref="AJ4" ca="1" si="7">TODAY()-AI4</f>
        <v>-21</v>
      </c>
      <c r="AK4" s="26"/>
      <c r="AL4" s="26" t="s">
        <v>54</v>
      </c>
      <c r="AM4" s="26" t="s">
        <v>51</v>
      </c>
      <c r="AN4" s="57" t="s">
        <v>55</v>
      </c>
      <c r="AO4" s="14" t="s">
        <v>53</v>
      </c>
      <c r="AP4" s="110">
        <v>2.5</v>
      </c>
      <c r="AQ4" s="71">
        <f t="shared" si="2"/>
        <v>55</v>
      </c>
      <c r="AR4" s="111"/>
      <c r="AS4" s="112"/>
      <c r="AT4" s="50"/>
      <c r="AU4" s="11">
        <f t="shared" ref="AU4:AU11" si="8">AT4-AQ4</f>
        <v>-55</v>
      </c>
      <c r="AV4" s="11"/>
      <c r="AW4" s="11">
        <f t="shared" ref="AW4:AW11" si="9">AT4</f>
        <v>0</v>
      </c>
      <c r="AX4" s="13">
        <f t="shared" si="3"/>
        <v>0.84999999999999987</v>
      </c>
      <c r="AY4" s="11">
        <f t="shared" si="4"/>
        <v>18.699999999999996</v>
      </c>
      <c r="AZ4" s="82">
        <f t="shared" si="5"/>
        <v>0.51515151515151503</v>
      </c>
    </row>
    <row r="5" spans="1:52" x14ac:dyDescent="0.3">
      <c r="A5" s="249">
        <v>46199</v>
      </c>
      <c r="B5" s="250">
        <v>46199</v>
      </c>
      <c r="C5" s="247" t="s">
        <v>45</v>
      </c>
      <c r="D5" s="250">
        <v>46199</v>
      </c>
      <c r="E5" s="247" t="s">
        <v>100</v>
      </c>
      <c r="F5" s="247">
        <v>121318</v>
      </c>
      <c r="G5" s="247" t="s">
        <v>57</v>
      </c>
      <c r="H5" s="247" t="s">
        <v>59</v>
      </c>
      <c r="I5" s="247" t="s">
        <v>104</v>
      </c>
      <c r="J5" s="251" t="s">
        <v>109</v>
      </c>
      <c r="K5" s="252" t="s">
        <v>112</v>
      </c>
      <c r="L5" s="247" t="s">
        <v>32</v>
      </c>
      <c r="M5" s="247" t="s">
        <v>114</v>
      </c>
      <c r="N5" s="253">
        <v>3</v>
      </c>
      <c r="O5" s="247">
        <v>50</v>
      </c>
      <c r="P5" s="247">
        <v>150.35</v>
      </c>
      <c r="Q5" s="201">
        <v>11.4</v>
      </c>
      <c r="R5" s="201">
        <f t="shared" ref="R5:R11" si="10">Q5*P5</f>
        <v>1713.99</v>
      </c>
      <c r="S5" s="201">
        <v>0.05</v>
      </c>
      <c r="T5" s="201">
        <f t="shared" ref="T5:T11" si="11">S5*P5</f>
        <v>7.5175000000000001</v>
      </c>
      <c r="U5" s="247" t="s">
        <v>135</v>
      </c>
      <c r="V5" s="251">
        <v>102473</v>
      </c>
      <c r="W5" s="201">
        <f>X5*P5</f>
        <v>96.073650000000001</v>
      </c>
      <c r="X5" s="254">
        <v>0.63900000000000001</v>
      </c>
      <c r="Y5" s="254">
        <f>Z5*P5</f>
        <v>9.036035</v>
      </c>
      <c r="Z5" s="254">
        <v>6.0100000000000001E-2</v>
      </c>
      <c r="AA5" s="254" t="s">
        <v>90</v>
      </c>
      <c r="AB5" s="255" t="s">
        <v>194</v>
      </c>
      <c r="AC5" s="201">
        <f t="shared" si="6"/>
        <v>1841.6171850000001</v>
      </c>
      <c r="AD5" s="256">
        <v>15</v>
      </c>
      <c r="AE5" s="254">
        <f t="shared" si="0"/>
        <v>12.248867209843699</v>
      </c>
      <c r="AF5" s="257">
        <v>46199</v>
      </c>
      <c r="AG5" s="250">
        <v>46202</v>
      </c>
      <c r="AH5" s="258">
        <v>21</v>
      </c>
      <c r="AI5" s="259">
        <f t="shared" si="1"/>
        <v>46220</v>
      </c>
      <c r="AJ5" s="258" t="s">
        <v>324</v>
      </c>
      <c r="AK5" s="247">
        <v>10002</v>
      </c>
      <c r="AL5" s="247" t="s">
        <v>125</v>
      </c>
      <c r="AM5" s="247" t="s">
        <v>126</v>
      </c>
      <c r="AN5" s="260" t="s">
        <v>144</v>
      </c>
      <c r="AO5" s="247">
        <v>1003</v>
      </c>
      <c r="AP5" s="261">
        <v>12.85</v>
      </c>
      <c r="AQ5" s="201">
        <f t="shared" si="2"/>
        <v>1931.9974999999999</v>
      </c>
      <c r="AR5" s="262">
        <v>46225</v>
      </c>
      <c r="AS5" s="247" t="s">
        <v>429</v>
      </c>
      <c r="AT5" s="263">
        <v>1932</v>
      </c>
      <c r="AU5" s="201">
        <f>AT5-AQ5</f>
        <v>2.5000000000545697E-3</v>
      </c>
      <c r="AV5" s="201"/>
      <c r="AW5" s="201">
        <f>AT5</f>
        <v>1932</v>
      </c>
      <c r="AX5" s="254">
        <f t="shared" si="3"/>
        <v>0.60113279015630106</v>
      </c>
      <c r="AY5" s="201">
        <f t="shared" si="4"/>
        <v>90.380314999999882</v>
      </c>
      <c r="AZ5" s="264">
        <f t="shared" si="5"/>
        <v>4.90766027468406E-2</v>
      </c>
    </row>
    <row r="6" spans="1:52" x14ac:dyDescent="0.3">
      <c r="A6" s="249">
        <v>46199</v>
      </c>
      <c r="B6" s="250">
        <v>46199</v>
      </c>
      <c r="C6" s="247" t="s">
        <v>45</v>
      </c>
      <c r="D6" s="250">
        <v>46199</v>
      </c>
      <c r="E6" s="247" t="s">
        <v>100</v>
      </c>
      <c r="F6" s="247">
        <v>121318</v>
      </c>
      <c r="G6" s="247" t="s">
        <v>57</v>
      </c>
      <c r="H6" s="247" t="s">
        <v>59</v>
      </c>
      <c r="I6" s="247" t="s">
        <v>104</v>
      </c>
      <c r="J6" s="251" t="s">
        <v>110</v>
      </c>
      <c r="K6" s="252" t="s">
        <v>113</v>
      </c>
      <c r="L6" s="247" t="s">
        <v>32</v>
      </c>
      <c r="M6" s="247" t="s">
        <v>114</v>
      </c>
      <c r="N6" s="253">
        <v>2</v>
      </c>
      <c r="O6" s="247">
        <v>80</v>
      </c>
      <c r="P6" s="247">
        <v>162.85</v>
      </c>
      <c r="Q6" s="201">
        <v>12.1</v>
      </c>
      <c r="R6" s="201">
        <f t="shared" si="10"/>
        <v>1970.4849999999999</v>
      </c>
      <c r="S6" s="201">
        <v>0.05</v>
      </c>
      <c r="T6" s="201">
        <f t="shared" si="11"/>
        <v>8.1425000000000001</v>
      </c>
      <c r="U6" s="247" t="s">
        <v>135</v>
      </c>
      <c r="V6" s="251">
        <v>102473</v>
      </c>
      <c r="W6" s="201">
        <f>X6*P6</f>
        <v>104.06115</v>
      </c>
      <c r="X6" s="254">
        <v>0.63900000000000001</v>
      </c>
      <c r="Y6" s="254">
        <f>Z6*P6</f>
        <v>9.7872849999999989</v>
      </c>
      <c r="Z6" s="254">
        <v>6.0100000000000001E-2</v>
      </c>
      <c r="AA6" s="254" t="s">
        <v>90</v>
      </c>
      <c r="AB6" s="255" t="s">
        <v>194</v>
      </c>
      <c r="AC6" s="201">
        <f t="shared" si="6"/>
        <v>2107.4759349999999</v>
      </c>
      <c r="AD6" s="256">
        <v>15</v>
      </c>
      <c r="AE6" s="254">
        <f t="shared" si="0"/>
        <v>12.941209303039606</v>
      </c>
      <c r="AF6" s="257">
        <v>46199</v>
      </c>
      <c r="AG6" s="250">
        <v>46202</v>
      </c>
      <c r="AH6" s="258">
        <v>21</v>
      </c>
      <c r="AI6" s="259">
        <f t="shared" si="1"/>
        <v>46220</v>
      </c>
      <c r="AJ6" s="258" t="s">
        <v>324</v>
      </c>
      <c r="AK6" s="247">
        <v>10003</v>
      </c>
      <c r="AL6" s="247" t="s">
        <v>125</v>
      </c>
      <c r="AM6" s="247" t="s">
        <v>126</v>
      </c>
      <c r="AN6" s="260" t="s">
        <v>144</v>
      </c>
      <c r="AO6" s="247">
        <v>1003</v>
      </c>
      <c r="AP6" s="261">
        <v>13.5</v>
      </c>
      <c r="AQ6" s="201">
        <f t="shared" si="2"/>
        <v>2198.4749999999999</v>
      </c>
      <c r="AR6" s="262">
        <v>46225</v>
      </c>
      <c r="AS6" s="247" t="s">
        <v>429</v>
      </c>
      <c r="AT6" s="263">
        <v>2198.48</v>
      </c>
      <c r="AU6" s="201">
        <f t="shared" si="8"/>
        <v>5.0000000001091394E-3</v>
      </c>
      <c r="AV6" s="201"/>
      <c r="AW6" s="201">
        <f t="shared" si="9"/>
        <v>2198.48</v>
      </c>
      <c r="AX6" s="254">
        <f t="shared" si="3"/>
        <v>0.55879069696039352</v>
      </c>
      <c r="AY6" s="201">
        <f t="shared" si="4"/>
        <v>90.999064999999973</v>
      </c>
      <c r="AZ6" s="264">
        <f t="shared" si="5"/>
        <v>4.3179171580908275E-2</v>
      </c>
    </row>
    <row r="7" spans="1:52" x14ac:dyDescent="0.3">
      <c r="A7" s="249">
        <v>46199</v>
      </c>
      <c r="B7" s="250">
        <v>46199</v>
      </c>
      <c r="C7" s="247" t="s">
        <v>45</v>
      </c>
      <c r="D7" s="250">
        <v>46199</v>
      </c>
      <c r="E7" s="247" t="s">
        <v>100</v>
      </c>
      <c r="F7" s="247">
        <v>121318</v>
      </c>
      <c r="G7" s="247" t="s">
        <v>57</v>
      </c>
      <c r="H7" s="247" t="s">
        <v>59</v>
      </c>
      <c r="I7" s="247" t="s">
        <v>104</v>
      </c>
      <c r="J7" s="251" t="s">
        <v>108</v>
      </c>
      <c r="K7" s="252" t="s">
        <v>136</v>
      </c>
      <c r="L7" s="247" t="s">
        <v>114</v>
      </c>
      <c r="M7" s="247" t="s">
        <v>114</v>
      </c>
      <c r="N7" s="253">
        <v>1</v>
      </c>
      <c r="O7" s="247">
        <v>1000</v>
      </c>
      <c r="P7" s="247">
        <v>688.35</v>
      </c>
      <c r="Q7" s="201">
        <v>6.7</v>
      </c>
      <c r="R7" s="201">
        <f t="shared" si="10"/>
        <v>4611.9450000000006</v>
      </c>
      <c r="S7" s="201">
        <v>0.05</v>
      </c>
      <c r="T7" s="201">
        <f t="shared" si="11"/>
        <v>34.417500000000004</v>
      </c>
      <c r="U7" s="247" t="s">
        <v>135</v>
      </c>
      <c r="V7" s="251">
        <v>102473</v>
      </c>
      <c r="W7" s="201">
        <f>X7*P7</f>
        <v>439.85565000000003</v>
      </c>
      <c r="X7" s="254">
        <v>0.63900000000000001</v>
      </c>
      <c r="Y7" s="254">
        <f>Z7*P7</f>
        <v>41.301000000000002</v>
      </c>
      <c r="Z7" s="254">
        <v>0.06</v>
      </c>
      <c r="AA7" s="254" t="s">
        <v>90</v>
      </c>
      <c r="AB7" s="255" t="s">
        <v>194</v>
      </c>
      <c r="AC7" s="201">
        <f t="shared" si="6"/>
        <v>5142.519150000001</v>
      </c>
      <c r="AD7" s="256">
        <v>15</v>
      </c>
      <c r="AE7" s="254">
        <f t="shared" si="0"/>
        <v>7.470791239921553</v>
      </c>
      <c r="AF7" s="257">
        <v>46199</v>
      </c>
      <c r="AG7" s="250">
        <v>46202</v>
      </c>
      <c r="AH7" s="258">
        <v>21</v>
      </c>
      <c r="AI7" s="259">
        <f t="shared" si="1"/>
        <v>46220</v>
      </c>
      <c r="AJ7" s="258" t="s">
        <v>324</v>
      </c>
      <c r="AK7" s="247">
        <v>10003</v>
      </c>
      <c r="AL7" s="247" t="s">
        <v>125</v>
      </c>
      <c r="AM7" s="247" t="s">
        <v>126</v>
      </c>
      <c r="AN7" s="260" t="s">
        <v>144</v>
      </c>
      <c r="AO7" s="247">
        <v>1003</v>
      </c>
      <c r="AP7" s="261">
        <v>7.95</v>
      </c>
      <c r="AQ7" s="201">
        <f t="shared" si="2"/>
        <v>5472.3825000000006</v>
      </c>
      <c r="AR7" s="262">
        <v>46225</v>
      </c>
      <c r="AS7" s="247" t="s">
        <v>429</v>
      </c>
      <c r="AT7" s="263">
        <v>5472.38</v>
      </c>
      <c r="AU7" s="201">
        <f t="shared" si="8"/>
        <v>-2.500000000509317E-3</v>
      </c>
      <c r="AV7" s="201"/>
      <c r="AW7" s="201">
        <f t="shared" si="9"/>
        <v>5472.38</v>
      </c>
      <c r="AX7" s="254">
        <f t="shared" si="3"/>
        <v>0.47920876007844715</v>
      </c>
      <c r="AY7" s="201">
        <f t="shared" si="4"/>
        <v>329.86334999999963</v>
      </c>
      <c r="AZ7" s="264">
        <f t="shared" si="5"/>
        <v>6.4144311450935299E-2</v>
      </c>
    </row>
    <row r="8" spans="1:52" x14ac:dyDescent="0.3">
      <c r="A8" s="249">
        <v>46199</v>
      </c>
      <c r="B8" s="250">
        <v>46199</v>
      </c>
      <c r="C8" s="247">
        <v>15</v>
      </c>
      <c r="D8" s="250">
        <f>C8+B8</f>
        <v>46214</v>
      </c>
      <c r="E8" s="247" t="s">
        <v>101</v>
      </c>
      <c r="F8" s="247">
        <v>67851</v>
      </c>
      <c r="G8" s="247" t="s">
        <v>102</v>
      </c>
      <c r="H8" s="247" t="s">
        <v>103</v>
      </c>
      <c r="I8" s="247" t="s">
        <v>104</v>
      </c>
      <c r="J8" s="251" t="s">
        <v>106</v>
      </c>
      <c r="K8" s="252" t="s">
        <v>111</v>
      </c>
      <c r="L8" s="247" t="s">
        <v>32</v>
      </c>
      <c r="M8" s="247" t="s">
        <v>32</v>
      </c>
      <c r="N8" s="253">
        <v>4</v>
      </c>
      <c r="O8" s="247">
        <v>80</v>
      </c>
      <c r="P8" s="247">
        <v>308.39999999999998</v>
      </c>
      <c r="Q8" s="201">
        <v>8.5</v>
      </c>
      <c r="R8" s="201">
        <f>Q8*P8</f>
        <v>2621.3999999999996</v>
      </c>
      <c r="S8" s="201">
        <v>0.05</v>
      </c>
      <c r="T8" s="201">
        <f t="shared" si="11"/>
        <v>15.42</v>
      </c>
      <c r="U8" s="247" t="s">
        <v>135</v>
      </c>
      <c r="V8" s="251">
        <v>102473</v>
      </c>
      <c r="W8" s="201">
        <f>X8*P8</f>
        <v>196.75919999999999</v>
      </c>
      <c r="X8" s="254">
        <v>0.63800000000000001</v>
      </c>
      <c r="Y8" s="254">
        <v>18.48</v>
      </c>
      <c r="Z8" s="254">
        <f>Y8/P8</f>
        <v>5.9922178988326857E-2</v>
      </c>
      <c r="AA8" s="254" t="s">
        <v>90</v>
      </c>
      <c r="AB8" s="255" t="s">
        <v>194</v>
      </c>
      <c r="AC8" s="201">
        <f t="shared" si="6"/>
        <v>2867.0591999999997</v>
      </c>
      <c r="AD8" s="256">
        <v>15</v>
      </c>
      <c r="AE8" s="254">
        <f t="shared" si="0"/>
        <v>9.2965603112840469</v>
      </c>
      <c r="AF8" s="257">
        <v>46199</v>
      </c>
      <c r="AG8" s="250">
        <v>46202</v>
      </c>
      <c r="AH8" s="258">
        <v>21</v>
      </c>
      <c r="AI8" s="259">
        <f t="shared" si="1"/>
        <v>46220</v>
      </c>
      <c r="AJ8" s="258" t="s">
        <v>324</v>
      </c>
      <c r="AK8" s="247">
        <v>10003</v>
      </c>
      <c r="AL8" s="247" t="s">
        <v>125</v>
      </c>
      <c r="AM8" s="247" t="s">
        <v>126</v>
      </c>
      <c r="AN8" s="260" t="s">
        <v>144</v>
      </c>
      <c r="AO8" s="247">
        <v>1003</v>
      </c>
      <c r="AP8" s="261">
        <v>13</v>
      </c>
      <c r="AQ8" s="201">
        <f t="shared" si="2"/>
        <v>4009.2</v>
      </c>
      <c r="AR8" s="262">
        <v>46225</v>
      </c>
      <c r="AS8" s="247" t="s">
        <v>429</v>
      </c>
      <c r="AT8" s="263">
        <v>4009.2</v>
      </c>
      <c r="AU8" s="201">
        <f t="shared" si="8"/>
        <v>0</v>
      </c>
      <c r="AV8" s="201"/>
      <c r="AW8" s="201">
        <f t="shared" si="9"/>
        <v>4009.2</v>
      </c>
      <c r="AX8" s="254">
        <f t="shared" si="3"/>
        <v>3.7034396887159531</v>
      </c>
      <c r="AY8" s="201">
        <f t="shared" si="4"/>
        <v>1142.1408000000001</v>
      </c>
      <c r="AZ8" s="264">
        <f t="shared" si="5"/>
        <v>0.3983666608628102</v>
      </c>
    </row>
    <row r="9" spans="1:52" x14ac:dyDescent="0.3">
      <c r="A9" s="249">
        <v>46203</v>
      </c>
      <c r="B9" s="250">
        <v>46203</v>
      </c>
      <c r="C9" s="247">
        <v>15</v>
      </c>
      <c r="D9" s="250">
        <f>C9+B9</f>
        <v>46218</v>
      </c>
      <c r="E9" s="247" t="s">
        <v>140</v>
      </c>
      <c r="F9" s="247">
        <v>67888</v>
      </c>
      <c r="G9" s="247" t="s">
        <v>102</v>
      </c>
      <c r="H9" s="247" t="s">
        <v>103</v>
      </c>
      <c r="I9" s="247" t="s">
        <v>104</v>
      </c>
      <c r="J9" s="251" t="s">
        <v>172</v>
      </c>
      <c r="K9" s="251" t="s">
        <v>173</v>
      </c>
      <c r="L9" s="247" t="s">
        <v>114</v>
      </c>
      <c r="M9" s="247" t="s">
        <v>114</v>
      </c>
      <c r="N9" s="253">
        <v>20</v>
      </c>
      <c r="O9" s="247">
        <v>50</v>
      </c>
      <c r="P9" s="247">
        <v>1000</v>
      </c>
      <c r="Q9" s="201">
        <v>6.3</v>
      </c>
      <c r="R9" s="201">
        <f t="shared" si="10"/>
        <v>6300</v>
      </c>
      <c r="S9" s="201">
        <v>0.05</v>
      </c>
      <c r="T9" s="201">
        <f t="shared" si="11"/>
        <v>50</v>
      </c>
      <c r="U9" s="247" t="s">
        <v>135</v>
      </c>
      <c r="V9" s="251">
        <v>103244</v>
      </c>
      <c r="W9" s="201">
        <v>236.04</v>
      </c>
      <c r="X9" s="254">
        <f>W9/P9</f>
        <v>0.23604</v>
      </c>
      <c r="Y9" s="254">
        <f>Z9*P9</f>
        <v>0</v>
      </c>
      <c r="Z9" s="254"/>
      <c r="AA9" s="254" t="s">
        <v>26</v>
      </c>
      <c r="AB9" s="247" t="s">
        <v>26</v>
      </c>
      <c r="AC9" s="201">
        <f t="shared" si="6"/>
        <v>6601.04</v>
      </c>
      <c r="AD9" s="256">
        <v>15</v>
      </c>
      <c r="AE9" s="254">
        <f t="shared" si="0"/>
        <v>6.6010400000000002</v>
      </c>
      <c r="AF9" s="257">
        <v>46203</v>
      </c>
      <c r="AG9" s="250">
        <v>46205</v>
      </c>
      <c r="AH9" s="258">
        <v>21</v>
      </c>
      <c r="AI9" s="259">
        <f t="shared" si="1"/>
        <v>46224</v>
      </c>
      <c r="AJ9" s="258" t="s">
        <v>324</v>
      </c>
      <c r="AK9" s="247">
        <v>10004</v>
      </c>
      <c r="AL9" s="247" t="s">
        <v>174</v>
      </c>
      <c r="AM9" s="247" t="s">
        <v>175</v>
      </c>
      <c r="AN9" s="260">
        <v>175718</v>
      </c>
      <c r="AO9" s="247">
        <v>1004</v>
      </c>
      <c r="AP9" s="261">
        <v>6.95</v>
      </c>
      <c r="AQ9" s="201">
        <f t="shared" si="2"/>
        <v>6950</v>
      </c>
      <c r="AR9" s="262">
        <v>46240</v>
      </c>
      <c r="AS9" s="247" t="s">
        <v>487</v>
      </c>
      <c r="AT9" s="263">
        <v>6950</v>
      </c>
      <c r="AU9" s="201">
        <f t="shared" si="8"/>
        <v>0</v>
      </c>
      <c r="AV9" s="201"/>
      <c r="AW9" s="201">
        <f t="shared" si="9"/>
        <v>6950</v>
      </c>
      <c r="AX9" s="254">
        <f t="shared" si="3"/>
        <v>0.34895999999999994</v>
      </c>
      <c r="AY9" s="201">
        <f t="shared" si="4"/>
        <v>348.96000000000004</v>
      </c>
      <c r="AZ9" s="264">
        <f t="shared" si="5"/>
        <v>5.2864397125301457E-2</v>
      </c>
    </row>
    <row r="10" spans="1:52" x14ac:dyDescent="0.3">
      <c r="A10" s="249">
        <v>46203</v>
      </c>
      <c r="B10" s="250">
        <v>46203</v>
      </c>
      <c r="C10" s="247" t="s">
        <v>45</v>
      </c>
      <c r="D10" s="250">
        <v>46203</v>
      </c>
      <c r="E10" s="247" t="s">
        <v>187</v>
      </c>
      <c r="F10" s="247">
        <v>140767</v>
      </c>
      <c r="G10" s="247" t="s">
        <v>188</v>
      </c>
      <c r="H10" s="247" t="s">
        <v>189</v>
      </c>
      <c r="I10" s="247" t="s">
        <v>190</v>
      </c>
      <c r="J10" s="251" t="s">
        <v>122</v>
      </c>
      <c r="K10" s="251" t="s">
        <v>124</v>
      </c>
      <c r="L10" s="247" t="s">
        <v>31</v>
      </c>
      <c r="M10" s="247" t="s">
        <v>31</v>
      </c>
      <c r="N10" s="253">
        <v>20</v>
      </c>
      <c r="O10" s="247">
        <v>35</v>
      </c>
      <c r="P10" s="247">
        <v>730.08</v>
      </c>
      <c r="Q10" s="201">
        <v>6.4</v>
      </c>
      <c r="R10" s="201">
        <f t="shared" ref="R10" si="12">Q10*P10</f>
        <v>4672.5120000000006</v>
      </c>
      <c r="S10" s="201">
        <v>0.05</v>
      </c>
      <c r="T10" s="201">
        <f t="shared" ref="T10" si="13">S10*P10</f>
        <v>36.504000000000005</v>
      </c>
      <c r="U10" s="247" t="s">
        <v>26</v>
      </c>
      <c r="V10" s="251" t="s">
        <v>26</v>
      </c>
      <c r="W10" s="201">
        <f>X10*P10</f>
        <v>0</v>
      </c>
      <c r="X10" s="254">
        <v>0</v>
      </c>
      <c r="Y10" s="254">
        <f>Z10*P10</f>
        <v>59.830055999999999</v>
      </c>
      <c r="Z10" s="254">
        <v>8.1949999999999995E-2</v>
      </c>
      <c r="AA10" s="254" t="s">
        <v>134</v>
      </c>
      <c r="AB10" s="247">
        <v>130065</v>
      </c>
      <c r="AC10" s="201">
        <f t="shared" si="6"/>
        <v>4768.8460560000003</v>
      </c>
      <c r="AD10" s="201">
        <v>0</v>
      </c>
      <c r="AE10" s="254">
        <f t="shared" si="0"/>
        <v>6.5319500000000001</v>
      </c>
      <c r="AF10" s="257">
        <v>46203</v>
      </c>
      <c r="AG10" s="250">
        <v>46204</v>
      </c>
      <c r="AH10" s="247">
        <v>14</v>
      </c>
      <c r="AI10" s="257">
        <f t="shared" si="1"/>
        <v>46217</v>
      </c>
      <c r="AJ10" s="247" t="s">
        <v>324</v>
      </c>
      <c r="AK10" s="247">
        <v>10005</v>
      </c>
      <c r="AL10" s="247" t="s">
        <v>131</v>
      </c>
      <c r="AM10" s="247" t="s">
        <v>132</v>
      </c>
      <c r="AN10" s="260" t="s">
        <v>191</v>
      </c>
      <c r="AO10" s="265">
        <v>1005</v>
      </c>
      <c r="AP10" s="201">
        <v>6.75</v>
      </c>
      <c r="AQ10" s="201">
        <f t="shared" si="2"/>
        <v>4928.04</v>
      </c>
      <c r="AR10" s="262">
        <v>46219</v>
      </c>
      <c r="AS10" s="251" t="s">
        <v>315</v>
      </c>
      <c r="AT10" s="266">
        <f t="shared" ref="AT10" si="14">AQ10</f>
        <v>4928.04</v>
      </c>
      <c r="AU10" s="201">
        <f t="shared" si="8"/>
        <v>0</v>
      </c>
      <c r="AV10" s="201"/>
      <c r="AW10" s="201">
        <f t="shared" si="9"/>
        <v>4928.04</v>
      </c>
      <c r="AX10" s="254">
        <f t="shared" si="3"/>
        <v>0.21804999999999986</v>
      </c>
      <c r="AY10" s="201">
        <f t="shared" si="4"/>
        <v>159.19394399999965</v>
      </c>
      <c r="AZ10" s="264">
        <f t="shared" si="5"/>
        <v>3.338206814197902E-2</v>
      </c>
    </row>
    <row r="11" spans="1:52" x14ac:dyDescent="0.3">
      <c r="A11" s="249">
        <v>46203</v>
      </c>
      <c r="B11" s="250">
        <v>46203</v>
      </c>
      <c r="C11" s="247" t="s">
        <v>45</v>
      </c>
      <c r="D11" s="250">
        <v>46203</v>
      </c>
      <c r="E11" s="247" t="s">
        <v>187</v>
      </c>
      <c r="F11" s="247">
        <v>140767</v>
      </c>
      <c r="G11" s="247" t="s">
        <v>188</v>
      </c>
      <c r="H11" s="247" t="s">
        <v>189</v>
      </c>
      <c r="I11" s="247" t="s">
        <v>190</v>
      </c>
      <c r="J11" s="251" t="s">
        <v>122</v>
      </c>
      <c r="K11" s="251" t="s">
        <v>124</v>
      </c>
      <c r="L11" s="247" t="s">
        <v>31</v>
      </c>
      <c r="M11" s="247" t="s">
        <v>31</v>
      </c>
      <c r="N11" s="253">
        <v>30</v>
      </c>
      <c r="O11" s="247">
        <v>35</v>
      </c>
      <c r="P11" s="247">
        <v>1100.4000000000001</v>
      </c>
      <c r="Q11" s="201">
        <v>6.4</v>
      </c>
      <c r="R11" s="201">
        <f t="shared" si="10"/>
        <v>7042.5600000000013</v>
      </c>
      <c r="S11" s="201">
        <v>0.05</v>
      </c>
      <c r="T11" s="201">
        <f t="shared" si="11"/>
        <v>55.02000000000001</v>
      </c>
      <c r="U11" s="247" t="s">
        <v>26</v>
      </c>
      <c r="V11" s="251" t="s">
        <v>26</v>
      </c>
      <c r="W11" s="201">
        <f>X11*P11</f>
        <v>0</v>
      </c>
      <c r="X11" s="254">
        <v>0</v>
      </c>
      <c r="Y11" s="254">
        <f>Z11*P11</f>
        <v>90.177779999999998</v>
      </c>
      <c r="Z11" s="254">
        <v>8.1949999999999995E-2</v>
      </c>
      <c r="AA11" s="254" t="s">
        <v>134</v>
      </c>
      <c r="AB11" s="247">
        <v>130065</v>
      </c>
      <c r="AC11" s="201">
        <f t="shared" si="6"/>
        <v>7187.7577800000017</v>
      </c>
      <c r="AD11" s="201">
        <v>0</v>
      </c>
      <c r="AE11" s="254">
        <f t="shared" si="0"/>
        <v>6.531950000000001</v>
      </c>
      <c r="AF11" s="257">
        <v>46203</v>
      </c>
      <c r="AG11" s="250">
        <v>46204</v>
      </c>
      <c r="AH11" s="247">
        <v>21</v>
      </c>
      <c r="AI11" s="257">
        <f t="shared" si="1"/>
        <v>46224</v>
      </c>
      <c r="AJ11" s="258" t="s">
        <v>324</v>
      </c>
      <c r="AK11" s="247">
        <v>10006</v>
      </c>
      <c r="AL11" s="247" t="s">
        <v>146</v>
      </c>
      <c r="AM11" s="247" t="s">
        <v>149</v>
      </c>
      <c r="AN11" s="260" t="s">
        <v>192</v>
      </c>
      <c r="AO11" s="247">
        <v>1006</v>
      </c>
      <c r="AP11" s="201">
        <v>6.75</v>
      </c>
      <c r="AQ11" s="201">
        <f t="shared" si="2"/>
        <v>7427.7000000000007</v>
      </c>
      <c r="AR11" s="262">
        <v>46239</v>
      </c>
      <c r="AS11" s="247" t="s">
        <v>429</v>
      </c>
      <c r="AT11" s="263">
        <v>7427.7</v>
      </c>
      <c r="AU11" s="201">
        <f t="shared" si="8"/>
        <v>0</v>
      </c>
      <c r="AV11" s="201"/>
      <c r="AW11" s="201">
        <f t="shared" si="9"/>
        <v>7427.7</v>
      </c>
      <c r="AX11" s="254">
        <f t="shared" si="3"/>
        <v>0.21804999999999897</v>
      </c>
      <c r="AY11" s="201">
        <f t="shared" si="4"/>
        <v>239.942219999999</v>
      </c>
      <c r="AZ11" s="264">
        <f t="shared" si="5"/>
        <v>3.3382068141978881E-2</v>
      </c>
    </row>
    <row r="12" spans="1:52" x14ac:dyDescent="0.3">
      <c r="A12" s="84"/>
      <c r="B12" s="3"/>
      <c r="K12" s="2"/>
      <c r="M12" s="85"/>
      <c r="N12" s="86"/>
      <c r="O12" s="85"/>
      <c r="P12" s="85"/>
      <c r="Q12" s="87"/>
      <c r="R12" s="87"/>
      <c r="S12" s="87"/>
      <c r="T12" s="87"/>
      <c r="U12" s="85"/>
      <c r="V12" s="88"/>
      <c r="W12" s="87"/>
      <c r="X12" s="89"/>
      <c r="Y12" s="89"/>
      <c r="Z12" s="89"/>
      <c r="AA12" s="89"/>
      <c r="AB12" s="85"/>
      <c r="AC12" s="87"/>
      <c r="AD12" s="87"/>
      <c r="AE12" s="89"/>
      <c r="AF12" s="90"/>
      <c r="AG12" s="91"/>
      <c r="AI12" s="4"/>
      <c r="AP12" s="1"/>
      <c r="AQ12" s="1"/>
      <c r="AT12" s="1"/>
      <c r="AU12" s="1"/>
      <c r="AV12" s="1"/>
      <c r="AW12" s="1"/>
      <c r="AX12" s="13"/>
      <c r="AY12" s="1"/>
      <c r="AZ12" s="92"/>
    </row>
    <row r="13" spans="1:52" ht="15" thickBot="1" x14ac:dyDescent="0.35">
      <c r="A13" s="93"/>
      <c r="B13" s="18"/>
      <c r="C13" s="18"/>
      <c r="D13" s="18"/>
      <c r="E13" s="18"/>
      <c r="F13" s="18"/>
      <c r="G13" s="18"/>
      <c r="H13" s="18"/>
      <c r="I13" s="18"/>
      <c r="J13" s="35"/>
      <c r="K13" s="18"/>
      <c r="L13" s="18"/>
      <c r="M13" s="43"/>
      <c r="N13" s="44"/>
      <c r="O13" s="43"/>
      <c r="P13" s="43"/>
      <c r="Q13" s="63"/>
      <c r="R13" s="63"/>
      <c r="S13" s="43"/>
      <c r="T13" s="63"/>
      <c r="U13" s="43"/>
      <c r="V13" s="45"/>
      <c r="W13" s="43"/>
      <c r="X13" s="43"/>
      <c r="Y13" s="43"/>
      <c r="Z13" s="43"/>
      <c r="AA13" s="43"/>
      <c r="AB13" s="43"/>
      <c r="AC13" s="43"/>
      <c r="AD13" s="63"/>
      <c r="AE13" s="43"/>
      <c r="AF13" s="46"/>
      <c r="AG13" s="43"/>
      <c r="AH13" s="18"/>
      <c r="AI13" s="18"/>
      <c r="AJ13" s="18"/>
      <c r="AK13" s="18"/>
      <c r="AL13" s="18"/>
      <c r="AM13" s="18"/>
      <c r="AN13" s="60"/>
      <c r="AO13" s="18"/>
      <c r="AP13" s="18"/>
      <c r="AQ13" s="18"/>
      <c r="AR13" s="53"/>
      <c r="AS13" s="18"/>
      <c r="AT13" s="18"/>
      <c r="AU13" s="18"/>
      <c r="AV13" s="18"/>
      <c r="AW13" s="18"/>
      <c r="AX13" s="18"/>
      <c r="AY13" s="18"/>
      <c r="AZ13" s="94"/>
    </row>
    <row r="14" spans="1:52" ht="15" thickBot="1" x14ac:dyDescent="0.35">
      <c r="M14" s="6"/>
      <c r="N14" s="40"/>
      <c r="O14" s="6"/>
      <c r="P14" s="21">
        <f>SUM(P3:P13)</f>
        <v>43740.43</v>
      </c>
      <c r="Q14" s="5"/>
      <c r="R14" s="69">
        <f>SUM(R3:R13)</f>
        <v>92292.891999999993</v>
      </c>
      <c r="S14" s="5"/>
      <c r="T14" s="5">
        <f>SUM(T3:T13)</f>
        <v>2187.0214999999998</v>
      </c>
      <c r="U14" s="5"/>
      <c r="V14" s="36"/>
      <c r="W14" s="5">
        <f>SUM(W3:W13)</f>
        <v>5072.7896500000006</v>
      </c>
      <c r="X14" s="5"/>
      <c r="Y14" s="5">
        <f>SUM(Y3:Y11)</f>
        <v>228.61215599999997</v>
      </c>
      <c r="Z14" s="5"/>
      <c r="AA14" s="5"/>
      <c r="AB14" s="6"/>
      <c r="AC14" s="5">
        <f>SUM(AC3:AC13)</f>
        <v>99886.315306000004</v>
      </c>
      <c r="AD14" s="1">
        <f>SUM(AD3:AD11)</f>
        <v>105</v>
      </c>
      <c r="AE14" s="6"/>
      <c r="AF14" s="6"/>
      <c r="AG14" s="6"/>
      <c r="AH14" s="6"/>
      <c r="AI14" s="6"/>
      <c r="AJ14" s="6"/>
      <c r="AK14" s="6"/>
      <c r="AL14" s="6"/>
      <c r="AM14" s="6"/>
      <c r="AN14" s="61"/>
      <c r="AO14" s="6"/>
      <c r="AP14" s="6"/>
      <c r="AQ14" s="5">
        <f>SUM(AQ3:AQ13)</f>
        <v>131917.79500000001</v>
      </c>
      <c r="AR14" s="54"/>
      <c r="AS14" s="6"/>
      <c r="AT14" s="5">
        <f>SUM(AT3:AT13)</f>
        <v>131862.79999999999</v>
      </c>
      <c r="AU14" s="5">
        <f>SUM(AU3:AU13)</f>
        <v>-54.995000000000346</v>
      </c>
      <c r="AV14" s="5"/>
      <c r="AW14" s="5">
        <f>SUM(AW3:AW13)</f>
        <v>131862.79999999999</v>
      </c>
      <c r="AX14" s="6"/>
      <c r="AY14" s="5">
        <f>SUM(AY3:AY13)</f>
        <v>32031.479693999987</v>
      </c>
      <c r="AZ14" s="22">
        <f>AY14/AC14</f>
        <v>0.32067936028946609</v>
      </c>
    </row>
    <row r="15" spans="1:52" ht="15" thickBot="1" x14ac:dyDescent="0.35">
      <c r="P15" s="208" t="s">
        <v>235</v>
      </c>
      <c r="Q15" s="208"/>
      <c r="R15" s="70">
        <f>R14-R3-R4-R5-R6-R7-R10-R11-R8-R9</f>
        <v>-1.4551915228366852E-11</v>
      </c>
      <c r="V15" s="74" t="s">
        <v>235</v>
      </c>
      <c r="W15" s="47">
        <f>W14-W3-W5-W6-W7-W8-W9</f>
        <v>5.6843418860808015E-13</v>
      </c>
      <c r="X15" s="48" t="s">
        <v>236</v>
      </c>
      <c r="Y15" s="47">
        <f>Y14-Y3-Y4-Y5-Y6-Y7-Y8-Y9-Y10-Y11</f>
        <v>0</v>
      </c>
      <c r="AC15" s="96">
        <f>AC14-T14</f>
        <v>97699.293806000001</v>
      </c>
    </row>
    <row r="16" spans="1:52" x14ac:dyDescent="0.3">
      <c r="AD16"/>
      <c r="AN16"/>
      <c r="AR16"/>
    </row>
    <row r="17" spans="1:53" x14ac:dyDescent="0.3"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</row>
    <row r="18" spans="1:53" x14ac:dyDescent="0.3">
      <c r="AO18" s="58"/>
      <c r="AP18" s="58"/>
      <c r="AQ18" s="58"/>
      <c r="AR18" s="58"/>
      <c r="AT18" s="58"/>
      <c r="AU18" s="58"/>
      <c r="AV18" s="58"/>
      <c r="AW18" s="58"/>
      <c r="AX18" s="58"/>
      <c r="AY18" s="58"/>
      <c r="AZ18" s="58"/>
      <c r="BA18" s="58"/>
    </row>
    <row r="20" spans="1:53" ht="15" thickBot="1" x14ac:dyDescent="0.35">
      <c r="A20" s="32" t="s">
        <v>176</v>
      </c>
      <c r="D20" t="s">
        <v>171</v>
      </c>
    </row>
    <row r="21" spans="1:53" ht="43.8" thickBot="1" x14ac:dyDescent="0.35">
      <c r="A21" s="7" t="s">
        <v>11</v>
      </c>
      <c r="B21" s="8" t="s">
        <v>47</v>
      </c>
      <c r="C21" s="8" t="s">
        <v>1</v>
      </c>
      <c r="D21" s="8" t="s">
        <v>22</v>
      </c>
      <c r="E21" s="8" t="s">
        <v>4</v>
      </c>
      <c r="F21" s="8" t="s">
        <v>37</v>
      </c>
      <c r="G21" s="8" t="s">
        <v>39</v>
      </c>
      <c r="H21" s="8" t="s">
        <v>8</v>
      </c>
      <c r="I21" s="8" t="s">
        <v>9</v>
      </c>
      <c r="J21" s="8" t="s">
        <v>28</v>
      </c>
      <c r="K21" s="8" t="s">
        <v>5</v>
      </c>
      <c r="L21" s="8" t="s">
        <v>29</v>
      </c>
      <c r="M21" s="8" t="s">
        <v>30</v>
      </c>
      <c r="N21" s="38" t="s">
        <v>21</v>
      </c>
      <c r="O21" s="8" t="s">
        <v>20</v>
      </c>
      <c r="P21" s="8" t="s">
        <v>6</v>
      </c>
      <c r="Q21" s="62" t="s">
        <v>17</v>
      </c>
      <c r="R21" s="62" t="s">
        <v>7</v>
      </c>
      <c r="S21" s="8" t="s">
        <v>10</v>
      </c>
      <c r="T21" s="62" t="s">
        <v>38</v>
      </c>
      <c r="U21" s="8" t="s">
        <v>48</v>
      </c>
      <c r="V21" s="8" t="s">
        <v>52</v>
      </c>
      <c r="W21" s="8" t="s">
        <v>49</v>
      </c>
      <c r="X21" s="8" t="s">
        <v>50</v>
      </c>
      <c r="Y21" s="8" t="s">
        <v>137</v>
      </c>
      <c r="Z21" s="8" t="s">
        <v>143</v>
      </c>
      <c r="AA21" s="8" t="s">
        <v>138</v>
      </c>
      <c r="AB21" s="8" t="s">
        <v>139</v>
      </c>
      <c r="AC21" s="8" t="s">
        <v>16</v>
      </c>
      <c r="AD21" s="62" t="s">
        <v>105</v>
      </c>
      <c r="AE21" s="62" t="s">
        <v>489</v>
      </c>
      <c r="AF21" s="8" t="s">
        <v>18</v>
      </c>
      <c r="AG21" s="8" t="s">
        <v>0</v>
      </c>
      <c r="AH21" s="8" t="s">
        <v>12</v>
      </c>
      <c r="AI21" s="8" t="s">
        <v>23</v>
      </c>
      <c r="AJ21" s="8" t="s">
        <v>284</v>
      </c>
      <c r="AK21" s="8" t="s">
        <v>283</v>
      </c>
      <c r="AL21" s="8" t="s">
        <v>223</v>
      </c>
      <c r="AM21" s="8" t="s">
        <v>41</v>
      </c>
      <c r="AN21" s="8" t="s">
        <v>13</v>
      </c>
      <c r="AO21" s="59" t="s">
        <v>14</v>
      </c>
      <c r="AP21" s="8" t="s">
        <v>36</v>
      </c>
      <c r="AQ21" s="8" t="s">
        <v>19</v>
      </c>
      <c r="AR21" s="8" t="s">
        <v>7</v>
      </c>
      <c r="AS21" s="52" t="s">
        <v>282</v>
      </c>
      <c r="AT21" s="8" t="s">
        <v>314</v>
      </c>
      <c r="AU21" s="8" t="s">
        <v>266</v>
      </c>
      <c r="AV21" s="8" t="s">
        <v>2</v>
      </c>
      <c r="AW21" s="8" t="s">
        <v>267</v>
      </c>
      <c r="AX21" s="8" t="s">
        <v>268</v>
      </c>
      <c r="AY21" s="8" t="s">
        <v>25</v>
      </c>
      <c r="AZ21" s="8" t="s">
        <v>24</v>
      </c>
      <c r="BA21" s="9" t="s">
        <v>15</v>
      </c>
    </row>
    <row r="22" spans="1:53" x14ac:dyDescent="0.3">
      <c r="A22" s="250">
        <v>46203</v>
      </c>
      <c r="B22" s="257">
        <v>46204</v>
      </c>
      <c r="C22" s="247">
        <v>21</v>
      </c>
      <c r="D22" s="257">
        <f>C22+B22</f>
        <v>46225</v>
      </c>
      <c r="E22" s="247" t="s">
        <v>181</v>
      </c>
      <c r="F22" s="247">
        <v>44123</v>
      </c>
      <c r="G22" s="247" t="s">
        <v>182</v>
      </c>
      <c r="H22" s="247" t="s">
        <v>193</v>
      </c>
      <c r="I22" s="247" t="s">
        <v>184</v>
      </c>
      <c r="J22" s="251" t="s">
        <v>180</v>
      </c>
      <c r="K22" s="251" t="s">
        <v>173</v>
      </c>
      <c r="L22" s="247" t="s">
        <v>32</v>
      </c>
      <c r="M22" s="247" t="s">
        <v>32</v>
      </c>
      <c r="N22" s="253">
        <v>10</v>
      </c>
      <c r="O22" s="248">
        <v>50</v>
      </c>
      <c r="P22" s="248">
        <f>N22*O22</f>
        <v>500</v>
      </c>
      <c r="Q22" s="201">
        <v>8.25</v>
      </c>
      <c r="R22" s="201">
        <f t="shared" ref="R22:R33" si="15">Q22*P22</f>
        <v>4125</v>
      </c>
      <c r="S22" s="201">
        <v>0.05</v>
      </c>
      <c r="T22" s="201">
        <f t="shared" ref="T22:T33" si="16">S22*P22</f>
        <v>25</v>
      </c>
      <c r="U22" s="201" t="s">
        <v>185</v>
      </c>
      <c r="V22" s="284" t="s">
        <v>26</v>
      </c>
      <c r="W22" s="201">
        <v>0</v>
      </c>
      <c r="X22" s="254">
        <v>0</v>
      </c>
      <c r="Y22" s="254">
        <v>0</v>
      </c>
      <c r="Z22" s="254">
        <v>0</v>
      </c>
      <c r="AA22" s="254" t="s">
        <v>26</v>
      </c>
      <c r="AB22" s="247" t="s">
        <v>26</v>
      </c>
      <c r="AC22" s="254">
        <f t="shared" ref="AC22:AC27" si="17">R22+T22+W22+AD22+Y22</f>
        <v>4150.5</v>
      </c>
      <c r="AD22" s="201">
        <v>0.5</v>
      </c>
      <c r="AE22" s="201"/>
      <c r="AF22" s="254">
        <f t="shared" ref="AF22:AF53" si="18">AC22/P22</f>
        <v>8.3010000000000002</v>
      </c>
      <c r="AG22" s="257">
        <v>46204</v>
      </c>
      <c r="AH22" s="257">
        <v>46205</v>
      </c>
      <c r="AI22" s="247">
        <v>21</v>
      </c>
      <c r="AJ22" s="257">
        <f t="shared" ref="AJ22:AJ47" si="19">AI22+AG22</f>
        <v>46225</v>
      </c>
      <c r="AK22" s="258" t="s">
        <v>324</v>
      </c>
      <c r="AL22" s="247">
        <v>10007</v>
      </c>
      <c r="AM22" s="201" t="s">
        <v>127</v>
      </c>
      <c r="AN22" s="247" t="s">
        <v>128</v>
      </c>
      <c r="AO22" s="260" t="s">
        <v>186</v>
      </c>
      <c r="AP22" s="247">
        <v>1007</v>
      </c>
      <c r="AQ22" s="201">
        <v>8.85</v>
      </c>
      <c r="AR22" s="201">
        <f t="shared" ref="AR22:AR53" si="20">AQ22*P22</f>
        <v>4425</v>
      </c>
      <c r="AS22" s="262">
        <v>46237</v>
      </c>
      <c r="AT22" s="251">
        <v>172559</v>
      </c>
      <c r="AU22" s="263">
        <v>4425</v>
      </c>
      <c r="AV22" s="201">
        <f>AU22-AR22</f>
        <v>0</v>
      </c>
      <c r="AW22" s="201"/>
      <c r="AX22" s="201">
        <f>AU22</f>
        <v>4425</v>
      </c>
      <c r="AY22" s="254">
        <f t="shared" ref="AY22:AY44" si="21">AQ22-AF22</f>
        <v>0.54899999999999949</v>
      </c>
      <c r="AZ22" s="201">
        <f t="shared" ref="AZ22:AZ58" si="22">AR22-AC22</f>
        <v>274.5</v>
      </c>
      <c r="BA22" s="285">
        <f t="shared" ref="BA22:BA44" si="23">AY22/AF22</f>
        <v>6.6136610046982222E-2</v>
      </c>
    </row>
    <row r="23" spans="1:53" x14ac:dyDescent="0.3">
      <c r="A23" s="250">
        <v>46204</v>
      </c>
      <c r="B23" s="250">
        <v>46204</v>
      </c>
      <c r="C23" s="247">
        <v>21</v>
      </c>
      <c r="D23" s="257">
        <f>C23+B23</f>
        <v>46225</v>
      </c>
      <c r="E23" s="247" t="s">
        <v>195</v>
      </c>
      <c r="F23" s="247">
        <v>44124</v>
      </c>
      <c r="G23" s="247" t="s">
        <v>182</v>
      </c>
      <c r="H23" s="247" t="s">
        <v>193</v>
      </c>
      <c r="I23" s="247" t="s">
        <v>184</v>
      </c>
      <c r="J23" s="251" t="s">
        <v>180</v>
      </c>
      <c r="K23" s="252" t="s">
        <v>173</v>
      </c>
      <c r="L23" s="247" t="s">
        <v>32</v>
      </c>
      <c r="M23" s="247" t="s">
        <v>32</v>
      </c>
      <c r="N23" s="253">
        <v>15</v>
      </c>
      <c r="O23" s="247">
        <v>50</v>
      </c>
      <c r="P23" s="248">
        <f t="shared" ref="P23:P26" si="24">N23*O23</f>
        <v>750</v>
      </c>
      <c r="Q23" s="201">
        <v>8.25</v>
      </c>
      <c r="R23" s="201">
        <f t="shared" si="15"/>
        <v>6187.5</v>
      </c>
      <c r="S23" s="201">
        <v>0.05</v>
      </c>
      <c r="T23" s="201">
        <f t="shared" si="16"/>
        <v>37.5</v>
      </c>
      <c r="U23" s="247" t="s">
        <v>196</v>
      </c>
      <c r="V23" s="251" t="s">
        <v>26</v>
      </c>
      <c r="W23" s="201">
        <v>0</v>
      </c>
      <c r="X23" s="254">
        <v>0</v>
      </c>
      <c r="Y23" s="286">
        <v>145</v>
      </c>
      <c r="Z23" s="254">
        <f>Y23/P23</f>
        <v>0.19333333333333333</v>
      </c>
      <c r="AA23" s="254" t="s">
        <v>90</v>
      </c>
      <c r="AB23" s="255" t="s">
        <v>285</v>
      </c>
      <c r="AC23" s="254">
        <f t="shared" si="17"/>
        <v>6370.5</v>
      </c>
      <c r="AD23" s="201">
        <v>0.5</v>
      </c>
      <c r="AE23" s="201"/>
      <c r="AF23" s="254">
        <f t="shared" si="18"/>
        <v>8.4939999999999998</v>
      </c>
      <c r="AG23" s="257">
        <v>46204</v>
      </c>
      <c r="AH23" s="250">
        <v>46205</v>
      </c>
      <c r="AI23" s="247">
        <v>21</v>
      </c>
      <c r="AJ23" s="257">
        <f t="shared" si="19"/>
        <v>46225</v>
      </c>
      <c r="AK23" s="247" t="s">
        <v>324</v>
      </c>
      <c r="AL23" s="247">
        <v>10008</v>
      </c>
      <c r="AM23" s="247" t="s">
        <v>125</v>
      </c>
      <c r="AN23" s="247" t="s">
        <v>126</v>
      </c>
      <c r="AO23" s="260" t="s">
        <v>197</v>
      </c>
      <c r="AP23" s="247">
        <v>1008</v>
      </c>
      <c r="AQ23" s="201">
        <v>9</v>
      </c>
      <c r="AR23" s="201">
        <f t="shared" si="20"/>
        <v>6750</v>
      </c>
      <c r="AS23" s="262">
        <v>46225</v>
      </c>
      <c r="AT23" s="251" t="s">
        <v>429</v>
      </c>
      <c r="AU23" s="263">
        <v>6750</v>
      </c>
      <c r="AV23" s="201">
        <f t="shared" ref="AV23:AV30" si="25">AU23-AR23</f>
        <v>0</v>
      </c>
      <c r="AW23" s="201"/>
      <c r="AX23" s="201">
        <f t="shared" ref="AX23:AX30" si="26">AU23</f>
        <v>6750</v>
      </c>
      <c r="AY23" s="254">
        <f t="shared" si="21"/>
        <v>0.50600000000000023</v>
      </c>
      <c r="AZ23" s="201">
        <f t="shared" si="22"/>
        <v>379.5</v>
      </c>
      <c r="BA23" s="285">
        <f t="shared" si="23"/>
        <v>5.9571462208617879E-2</v>
      </c>
    </row>
    <row r="24" spans="1:53" x14ac:dyDescent="0.3">
      <c r="A24" s="250">
        <v>46204</v>
      </c>
      <c r="B24" s="250">
        <v>46205</v>
      </c>
      <c r="C24" s="247">
        <v>0</v>
      </c>
      <c r="D24" s="250">
        <v>46205</v>
      </c>
      <c r="E24" s="247" t="s">
        <v>198</v>
      </c>
      <c r="F24" s="247" t="s">
        <v>217</v>
      </c>
      <c r="G24" s="247" t="s">
        <v>57</v>
      </c>
      <c r="H24" s="247" t="s">
        <v>59</v>
      </c>
      <c r="I24" s="247" t="s">
        <v>104</v>
      </c>
      <c r="J24" s="251" t="s">
        <v>108</v>
      </c>
      <c r="K24" s="251" t="s">
        <v>136</v>
      </c>
      <c r="L24" s="247" t="s">
        <v>114</v>
      </c>
      <c r="M24" s="247" t="s">
        <v>114</v>
      </c>
      <c r="N24" s="253">
        <v>1</v>
      </c>
      <c r="O24" s="247">
        <v>1000</v>
      </c>
      <c r="P24" s="248">
        <v>1100</v>
      </c>
      <c r="Q24" s="201">
        <v>6.25</v>
      </c>
      <c r="R24" s="201">
        <f t="shared" si="15"/>
        <v>6875</v>
      </c>
      <c r="S24" s="201">
        <v>0.05</v>
      </c>
      <c r="T24" s="201">
        <f t="shared" si="16"/>
        <v>55</v>
      </c>
      <c r="U24" s="247" t="s">
        <v>200</v>
      </c>
      <c r="V24" s="251">
        <v>103255</v>
      </c>
      <c r="W24" s="201">
        <f>X24*P24</f>
        <v>686.18000000000006</v>
      </c>
      <c r="X24" s="254">
        <v>0.62380000000000002</v>
      </c>
      <c r="Y24" s="286">
        <f>Z24*1100</f>
        <v>66</v>
      </c>
      <c r="Z24" s="254">
        <v>0.06</v>
      </c>
      <c r="AA24" s="254" t="s">
        <v>90</v>
      </c>
      <c r="AB24" s="255" t="s">
        <v>233</v>
      </c>
      <c r="AC24" s="254">
        <f t="shared" si="17"/>
        <v>7704.68</v>
      </c>
      <c r="AD24" s="201">
        <v>22.5</v>
      </c>
      <c r="AE24" s="201"/>
      <c r="AF24" s="254">
        <f t="shared" si="18"/>
        <v>7.004254545454546</v>
      </c>
      <c r="AG24" s="257">
        <v>46206</v>
      </c>
      <c r="AH24" s="250">
        <v>46209</v>
      </c>
      <c r="AI24" s="247">
        <v>21</v>
      </c>
      <c r="AJ24" s="257">
        <f t="shared" si="19"/>
        <v>46227</v>
      </c>
      <c r="AK24" s="247" t="s">
        <v>324</v>
      </c>
      <c r="AL24" s="247">
        <v>10009</v>
      </c>
      <c r="AM24" s="247" t="s">
        <v>125</v>
      </c>
      <c r="AN24" s="247" t="s">
        <v>126</v>
      </c>
      <c r="AO24" s="260" t="s">
        <v>216</v>
      </c>
      <c r="AP24" s="247">
        <v>1009</v>
      </c>
      <c r="AQ24" s="201">
        <v>7.5</v>
      </c>
      <c r="AR24" s="201">
        <f t="shared" si="20"/>
        <v>8250</v>
      </c>
      <c r="AS24" s="262">
        <v>46225</v>
      </c>
      <c r="AT24" s="251" t="s">
        <v>429</v>
      </c>
      <c r="AU24" s="263">
        <v>8250</v>
      </c>
      <c r="AV24" s="201">
        <f t="shared" si="25"/>
        <v>0</v>
      </c>
      <c r="AW24" s="201"/>
      <c r="AX24" s="201">
        <f t="shared" si="26"/>
        <v>8250</v>
      </c>
      <c r="AY24" s="254">
        <f t="shared" si="21"/>
        <v>0.49574545454545405</v>
      </c>
      <c r="AZ24" s="201">
        <f t="shared" si="22"/>
        <v>545.31999999999971</v>
      </c>
      <c r="BA24" s="285">
        <f t="shared" si="23"/>
        <v>7.0777761049128501E-2</v>
      </c>
    </row>
    <row r="25" spans="1:53" x14ac:dyDescent="0.3">
      <c r="A25" s="250">
        <v>46204</v>
      </c>
      <c r="B25" s="250">
        <v>46205</v>
      </c>
      <c r="C25" s="247">
        <v>0</v>
      </c>
      <c r="D25" s="250">
        <v>46205</v>
      </c>
      <c r="E25" s="247" t="s">
        <v>198</v>
      </c>
      <c r="F25" s="247" t="s">
        <v>217</v>
      </c>
      <c r="G25" s="247" t="s">
        <v>57</v>
      </c>
      <c r="H25" s="247" t="s">
        <v>59</v>
      </c>
      <c r="I25" s="247" t="s">
        <v>104</v>
      </c>
      <c r="J25" s="251" t="s">
        <v>109</v>
      </c>
      <c r="K25" s="251" t="s">
        <v>112</v>
      </c>
      <c r="L25" s="247" t="s">
        <v>32</v>
      </c>
      <c r="M25" s="247" t="s">
        <v>32</v>
      </c>
      <c r="N25" s="253">
        <v>10</v>
      </c>
      <c r="O25" s="247">
        <v>50</v>
      </c>
      <c r="P25" s="248">
        <v>502.25</v>
      </c>
      <c r="Q25" s="201">
        <v>11.25</v>
      </c>
      <c r="R25" s="201">
        <f t="shared" si="15"/>
        <v>5650.3125</v>
      </c>
      <c r="S25" s="201">
        <v>0.05</v>
      </c>
      <c r="T25" s="201">
        <f t="shared" si="16"/>
        <v>25.112500000000001</v>
      </c>
      <c r="U25" s="247" t="s">
        <v>200</v>
      </c>
      <c r="V25" s="251">
        <v>103255</v>
      </c>
      <c r="W25" s="201">
        <f>X25*P25</f>
        <v>313.30355000000003</v>
      </c>
      <c r="X25" s="254">
        <v>0.62380000000000002</v>
      </c>
      <c r="Y25" s="286">
        <f>Z25*502</f>
        <v>30.119999999999997</v>
      </c>
      <c r="Z25" s="254">
        <v>0.06</v>
      </c>
      <c r="AA25" s="254" t="s">
        <v>90</v>
      </c>
      <c r="AB25" s="255" t="s">
        <v>233</v>
      </c>
      <c r="AC25" s="254">
        <f t="shared" si="17"/>
        <v>6041.3485499999997</v>
      </c>
      <c r="AD25" s="201">
        <v>22.5</v>
      </c>
      <c r="AE25" s="201"/>
      <c r="AF25" s="254">
        <f t="shared" si="18"/>
        <v>12.028568541562967</v>
      </c>
      <c r="AG25" s="257">
        <v>46206</v>
      </c>
      <c r="AH25" s="250">
        <v>46209</v>
      </c>
      <c r="AI25" s="247">
        <v>21</v>
      </c>
      <c r="AJ25" s="257">
        <f t="shared" si="19"/>
        <v>46227</v>
      </c>
      <c r="AK25" s="247" t="s">
        <v>324</v>
      </c>
      <c r="AL25" s="247">
        <v>10009</v>
      </c>
      <c r="AM25" s="247" t="s">
        <v>125</v>
      </c>
      <c r="AN25" s="247" t="s">
        <v>126</v>
      </c>
      <c r="AO25" s="260" t="s">
        <v>216</v>
      </c>
      <c r="AP25" s="247">
        <v>1009</v>
      </c>
      <c r="AQ25" s="201">
        <v>12.85</v>
      </c>
      <c r="AR25" s="201">
        <f t="shared" si="20"/>
        <v>6453.9124999999995</v>
      </c>
      <c r="AS25" s="262">
        <v>46225</v>
      </c>
      <c r="AT25" s="251" t="s">
        <v>429</v>
      </c>
      <c r="AU25" s="263">
        <v>6453.91</v>
      </c>
      <c r="AV25" s="201">
        <f t="shared" si="25"/>
        <v>-2.4999999995998223E-3</v>
      </c>
      <c r="AW25" s="201"/>
      <c r="AX25" s="201">
        <f t="shared" si="26"/>
        <v>6453.91</v>
      </c>
      <c r="AY25" s="254">
        <f t="shared" si="21"/>
        <v>0.8214314584370328</v>
      </c>
      <c r="AZ25" s="201">
        <f t="shared" si="22"/>
        <v>412.56394999999975</v>
      </c>
      <c r="BA25" s="285">
        <f t="shared" si="23"/>
        <v>6.8290042626327152E-2</v>
      </c>
    </row>
    <row r="26" spans="1:53" x14ac:dyDescent="0.3">
      <c r="A26" s="250">
        <v>46204</v>
      </c>
      <c r="B26" s="250">
        <v>46205</v>
      </c>
      <c r="C26" s="247">
        <v>15</v>
      </c>
      <c r="D26" s="250">
        <f>C26+B26</f>
        <v>46220</v>
      </c>
      <c r="E26" s="247" t="s">
        <v>199</v>
      </c>
      <c r="F26" s="247">
        <v>67904</v>
      </c>
      <c r="G26" s="247" t="s">
        <v>102</v>
      </c>
      <c r="H26" s="247" t="s">
        <v>133</v>
      </c>
      <c r="I26" s="247" t="s">
        <v>104</v>
      </c>
      <c r="J26" s="251" t="s">
        <v>172</v>
      </c>
      <c r="K26" s="251" t="s">
        <v>173</v>
      </c>
      <c r="L26" s="247" t="s">
        <v>114</v>
      </c>
      <c r="M26" s="247" t="s">
        <v>114</v>
      </c>
      <c r="N26" s="253">
        <v>40</v>
      </c>
      <c r="O26" s="247">
        <v>50</v>
      </c>
      <c r="P26" s="248">
        <f t="shared" si="24"/>
        <v>2000</v>
      </c>
      <c r="Q26" s="201">
        <v>6.3</v>
      </c>
      <c r="R26" s="201">
        <f t="shared" si="15"/>
        <v>12600</v>
      </c>
      <c r="S26" s="201">
        <v>0.05</v>
      </c>
      <c r="T26" s="201">
        <f t="shared" si="16"/>
        <v>100</v>
      </c>
      <c r="U26" s="247" t="s">
        <v>200</v>
      </c>
      <c r="V26" s="251">
        <v>103314</v>
      </c>
      <c r="W26" s="201">
        <v>977.88</v>
      </c>
      <c r="X26" s="254">
        <f>W26/P26</f>
        <v>0.48893999999999999</v>
      </c>
      <c r="Y26" s="254">
        <v>0</v>
      </c>
      <c r="Z26" s="254">
        <f>Y26/P26</f>
        <v>0</v>
      </c>
      <c r="AA26" s="254" t="s">
        <v>26</v>
      </c>
      <c r="AB26" s="247" t="s">
        <v>26</v>
      </c>
      <c r="AC26" s="254">
        <f t="shared" si="17"/>
        <v>13692.88</v>
      </c>
      <c r="AD26" s="201">
        <v>15</v>
      </c>
      <c r="AE26" s="201"/>
      <c r="AF26" s="254">
        <f t="shared" si="18"/>
        <v>6.8464399999999994</v>
      </c>
      <c r="AG26" s="257">
        <v>46206</v>
      </c>
      <c r="AH26" s="250">
        <v>46209</v>
      </c>
      <c r="AI26" s="247">
        <v>21</v>
      </c>
      <c r="AJ26" s="257">
        <f t="shared" si="19"/>
        <v>46227</v>
      </c>
      <c r="AK26" s="247" t="s">
        <v>324</v>
      </c>
      <c r="AL26" s="247">
        <v>10010</v>
      </c>
      <c r="AM26" s="247" t="s">
        <v>201</v>
      </c>
      <c r="AN26" s="247" t="s">
        <v>202</v>
      </c>
      <c r="AO26" s="260">
        <v>855419</v>
      </c>
      <c r="AP26" s="247">
        <v>1010</v>
      </c>
      <c r="AQ26" s="201">
        <v>7.45</v>
      </c>
      <c r="AR26" s="201">
        <f t="shared" si="20"/>
        <v>14900</v>
      </c>
      <c r="AS26" s="262">
        <v>46233</v>
      </c>
      <c r="AT26" s="251" t="s">
        <v>429</v>
      </c>
      <c r="AU26" s="263">
        <v>14900</v>
      </c>
      <c r="AV26" s="201">
        <f t="shared" si="25"/>
        <v>0</v>
      </c>
      <c r="AW26" s="201"/>
      <c r="AX26" s="201">
        <f t="shared" si="26"/>
        <v>14900</v>
      </c>
      <c r="AY26" s="254">
        <f t="shared" si="21"/>
        <v>0.60356000000000076</v>
      </c>
      <c r="AZ26" s="201">
        <f t="shared" si="22"/>
        <v>1207.1200000000008</v>
      </c>
      <c r="BA26" s="285">
        <f t="shared" si="23"/>
        <v>8.8156764683543679E-2</v>
      </c>
    </row>
    <row r="27" spans="1:53" x14ac:dyDescent="0.3">
      <c r="A27" s="250">
        <v>46205</v>
      </c>
      <c r="B27" s="250">
        <v>46205</v>
      </c>
      <c r="C27" s="247">
        <v>0</v>
      </c>
      <c r="D27" s="250">
        <v>46205</v>
      </c>
      <c r="E27" s="247" t="s">
        <v>204</v>
      </c>
      <c r="F27" s="247">
        <v>5072622</v>
      </c>
      <c r="G27" s="247" t="s">
        <v>205</v>
      </c>
      <c r="H27" s="247" t="s">
        <v>206</v>
      </c>
      <c r="I27" s="247" t="s">
        <v>207</v>
      </c>
      <c r="J27" s="251" t="s">
        <v>208</v>
      </c>
      <c r="K27" s="251" t="s">
        <v>209</v>
      </c>
      <c r="L27" s="247" t="s">
        <v>32</v>
      </c>
      <c r="M27" s="247" t="s">
        <v>32</v>
      </c>
      <c r="N27" s="287">
        <v>6</v>
      </c>
      <c r="O27" s="288">
        <v>80</v>
      </c>
      <c r="P27" s="289">
        <v>511</v>
      </c>
      <c r="Q27" s="290">
        <f>R27/P27</f>
        <v>12</v>
      </c>
      <c r="R27" s="201">
        <v>6132</v>
      </c>
      <c r="S27" s="201">
        <v>0.05</v>
      </c>
      <c r="T27" s="201">
        <f t="shared" si="16"/>
        <v>25.55</v>
      </c>
      <c r="U27" s="247" t="s">
        <v>185</v>
      </c>
      <c r="V27" s="251" t="s">
        <v>26</v>
      </c>
      <c r="W27" s="201">
        <f>X27*P27</f>
        <v>0</v>
      </c>
      <c r="X27" s="254">
        <v>0</v>
      </c>
      <c r="Y27" s="286">
        <v>130</v>
      </c>
      <c r="Z27" s="254">
        <f>Y27/P27</f>
        <v>0.25440313111545987</v>
      </c>
      <c r="AA27" s="254" t="s">
        <v>90</v>
      </c>
      <c r="AB27" s="255" t="s">
        <v>234</v>
      </c>
      <c r="AC27" s="254">
        <f t="shared" si="17"/>
        <v>6317.55</v>
      </c>
      <c r="AD27" s="201">
        <v>30</v>
      </c>
      <c r="AE27" s="201"/>
      <c r="AF27" s="254">
        <f t="shared" si="18"/>
        <v>12.363111545988259</v>
      </c>
      <c r="AG27" s="257">
        <v>46206</v>
      </c>
      <c r="AH27" s="250">
        <v>46207</v>
      </c>
      <c r="AI27" s="247">
        <v>21</v>
      </c>
      <c r="AJ27" s="257">
        <f t="shared" si="19"/>
        <v>46227</v>
      </c>
      <c r="AK27" s="247" t="s">
        <v>324</v>
      </c>
      <c r="AL27" s="247">
        <v>10011</v>
      </c>
      <c r="AM27" s="247" t="s">
        <v>125</v>
      </c>
      <c r="AN27" s="247" t="s">
        <v>126</v>
      </c>
      <c r="AO27" s="260" t="s">
        <v>212</v>
      </c>
      <c r="AP27" s="247">
        <v>1011</v>
      </c>
      <c r="AQ27" s="201">
        <v>13.25</v>
      </c>
      <c r="AR27" s="201">
        <f t="shared" si="20"/>
        <v>6770.75</v>
      </c>
      <c r="AS27" s="262">
        <v>46225</v>
      </c>
      <c r="AT27" s="251" t="s">
        <v>429</v>
      </c>
      <c r="AU27" s="263">
        <v>13541.5</v>
      </c>
      <c r="AV27" s="201">
        <f t="shared" si="25"/>
        <v>6770.75</v>
      </c>
      <c r="AW27" s="201"/>
      <c r="AX27" s="201">
        <f t="shared" si="26"/>
        <v>13541.5</v>
      </c>
      <c r="AY27" s="254">
        <f t="shared" si="21"/>
        <v>0.88688845401174099</v>
      </c>
      <c r="AZ27" s="201">
        <f t="shared" si="22"/>
        <v>453.19999999999982</v>
      </c>
      <c r="BA27" s="285">
        <f t="shared" si="23"/>
        <v>7.1736670069884628E-2</v>
      </c>
    </row>
    <row r="28" spans="1:53" x14ac:dyDescent="0.3">
      <c r="A28" s="250">
        <v>46205</v>
      </c>
      <c r="B28" s="250">
        <v>46209</v>
      </c>
      <c r="C28" s="247">
        <v>0</v>
      </c>
      <c r="D28" s="250">
        <v>46209</v>
      </c>
      <c r="E28" s="247" t="s">
        <v>213</v>
      </c>
      <c r="F28" s="247">
        <v>140837</v>
      </c>
      <c r="G28" s="247" t="s">
        <v>188</v>
      </c>
      <c r="H28" s="247" t="s">
        <v>189</v>
      </c>
      <c r="I28" s="247" t="s">
        <v>190</v>
      </c>
      <c r="J28" s="251" t="s">
        <v>122</v>
      </c>
      <c r="K28" s="251" t="s">
        <v>124</v>
      </c>
      <c r="L28" s="247" t="s">
        <v>31</v>
      </c>
      <c r="M28" s="247" t="s">
        <v>31</v>
      </c>
      <c r="N28" s="253">
        <v>25</v>
      </c>
      <c r="O28" s="247">
        <v>35</v>
      </c>
      <c r="P28" s="248">
        <v>921.48</v>
      </c>
      <c r="Q28" s="201">
        <v>6.45</v>
      </c>
      <c r="R28" s="201">
        <f t="shared" si="15"/>
        <v>5943.5460000000003</v>
      </c>
      <c r="S28" s="201">
        <v>0.05</v>
      </c>
      <c r="T28" s="201">
        <f t="shared" si="16"/>
        <v>46.074000000000005</v>
      </c>
      <c r="U28" s="247" t="s">
        <v>26</v>
      </c>
      <c r="V28" s="251" t="s">
        <v>26</v>
      </c>
      <c r="W28" s="201">
        <f>X28*P28</f>
        <v>0</v>
      </c>
      <c r="X28" s="254">
        <v>0</v>
      </c>
      <c r="Y28" s="254">
        <f>Z28*P28</f>
        <v>87.079859999999996</v>
      </c>
      <c r="Z28" s="254">
        <v>9.4500000000000001E-2</v>
      </c>
      <c r="AA28" s="254" t="s">
        <v>134</v>
      </c>
      <c r="AB28" s="247">
        <v>130106</v>
      </c>
      <c r="AC28" s="201">
        <f t="shared" ref="AC28:AC64" si="27">R28+T28+W28+Y28+AD28</f>
        <v>6076.6998599999997</v>
      </c>
      <c r="AD28" s="201">
        <v>0</v>
      </c>
      <c r="AE28" s="201"/>
      <c r="AF28" s="254">
        <f t="shared" si="18"/>
        <v>6.5944999999999991</v>
      </c>
      <c r="AG28" s="257">
        <v>46209</v>
      </c>
      <c r="AH28" s="250">
        <v>46211</v>
      </c>
      <c r="AI28" s="247">
        <v>14</v>
      </c>
      <c r="AJ28" s="257">
        <f t="shared" si="19"/>
        <v>46223</v>
      </c>
      <c r="AK28" s="247" t="s">
        <v>324</v>
      </c>
      <c r="AL28" s="247">
        <v>10012</v>
      </c>
      <c r="AM28" s="247" t="s">
        <v>131</v>
      </c>
      <c r="AN28" s="247" t="s">
        <v>214</v>
      </c>
      <c r="AO28" s="260" t="s">
        <v>215</v>
      </c>
      <c r="AP28" s="288">
        <v>1012</v>
      </c>
      <c r="AQ28" s="201">
        <v>6.9</v>
      </c>
      <c r="AR28" s="201">
        <f t="shared" si="20"/>
        <v>6358.2120000000004</v>
      </c>
      <c r="AS28" s="262">
        <v>46230</v>
      </c>
      <c r="AT28" s="251" t="s">
        <v>488</v>
      </c>
      <c r="AU28" s="263">
        <v>6358.21</v>
      </c>
      <c r="AV28" s="201">
        <f t="shared" si="25"/>
        <v>-2.0000000004074536E-3</v>
      </c>
      <c r="AW28" s="201"/>
      <c r="AX28" s="201">
        <f t="shared" si="26"/>
        <v>6358.21</v>
      </c>
      <c r="AY28" s="254">
        <f t="shared" si="21"/>
        <v>0.30550000000000122</v>
      </c>
      <c r="AZ28" s="201">
        <f t="shared" si="22"/>
        <v>281.51214000000073</v>
      </c>
      <c r="BA28" s="285">
        <f t="shared" si="23"/>
        <v>4.6326484191371788E-2</v>
      </c>
    </row>
    <row r="29" spans="1:53" x14ac:dyDescent="0.3">
      <c r="A29" s="115">
        <v>46205</v>
      </c>
      <c r="B29" s="115">
        <v>46209</v>
      </c>
      <c r="C29" s="112">
        <v>0</v>
      </c>
      <c r="D29" s="115">
        <v>46209</v>
      </c>
      <c r="E29" s="112" t="s">
        <v>213</v>
      </c>
      <c r="F29" s="112">
        <v>140837</v>
      </c>
      <c r="G29" s="112" t="s">
        <v>188</v>
      </c>
      <c r="H29" s="112" t="s">
        <v>189</v>
      </c>
      <c r="I29" s="112" t="s">
        <v>190</v>
      </c>
      <c r="J29" s="113" t="s">
        <v>122</v>
      </c>
      <c r="K29" s="113" t="s">
        <v>124</v>
      </c>
      <c r="L29" s="112" t="s">
        <v>31</v>
      </c>
      <c r="M29" s="112" t="s">
        <v>31</v>
      </c>
      <c r="N29" s="123">
        <v>10</v>
      </c>
      <c r="O29" s="112">
        <v>35</v>
      </c>
      <c r="P29" s="124">
        <v>364.51</v>
      </c>
      <c r="Q29" s="71">
        <v>6.45</v>
      </c>
      <c r="R29" s="71">
        <f t="shared" si="15"/>
        <v>2351.0895</v>
      </c>
      <c r="S29" s="71">
        <v>0.05</v>
      </c>
      <c r="T29" s="71">
        <f t="shared" si="16"/>
        <v>18.2255</v>
      </c>
      <c r="U29" s="112" t="s">
        <v>26</v>
      </c>
      <c r="V29" s="113" t="s">
        <v>26</v>
      </c>
      <c r="W29" s="71">
        <f>X29*P29</f>
        <v>0</v>
      </c>
      <c r="X29" s="72">
        <v>0</v>
      </c>
      <c r="Y29" s="72">
        <f>Z29*P29</f>
        <v>34.446194999999996</v>
      </c>
      <c r="Z29" s="72">
        <v>9.4500000000000001E-2</v>
      </c>
      <c r="AA29" s="72" t="s">
        <v>134</v>
      </c>
      <c r="AB29" s="112">
        <v>130106</v>
      </c>
      <c r="AC29" s="71">
        <f t="shared" si="27"/>
        <v>2403.761195</v>
      </c>
      <c r="AD29" s="71">
        <v>0</v>
      </c>
      <c r="AE29" s="1"/>
      <c r="AF29" s="29">
        <f t="shared" si="18"/>
        <v>6.5945</v>
      </c>
      <c r="AG29" s="114">
        <v>46210</v>
      </c>
      <c r="AH29" s="115">
        <v>46210</v>
      </c>
      <c r="AI29" s="112">
        <v>21</v>
      </c>
      <c r="AJ29" s="114">
        <f t="shared" si="19"/>
        <v>46231</v>
      </c>
      <c r="AK29" s="116" t="s">
        <v>324</v>
      </c>
      <c r="AL29" s="112">
        <v>10015</v>
      </c>
      <c r="AM29" s="112" t="s">
        <v>129</v>
      </c>
      <c r="AN29" s="112" t="s">
        <v>130</v>
      </c>
      <c r="AO29" s="118" t="s">
        <v>232</v>
      </c>
      <c r="AP29" s="112">
        <v>1013</v>
      </c>
      <c r="AQ29" s="71">
        <v>6.9</v>
      </c>
      <c r="AR29" s="71">
        <f t="shared" si="20"/>
        <v>2515.1190000000001</v>
      </c>
      <c r="AS29" s="111">
        <v>46247</v>
      </c>
      <c r="AT29" s="113" t="s">
        <v>487</v>
      </c>
      <c r="AU29" s="78">
        <v>2515.12</v>
      </c>
      <c r="AV29" s="71">
        <f t="shared" si="25"/>
        <v>9.9999999974897946E-4</v>
      </c>
      <c r="AW29" s="71"/>
      <c r="AX29" s="71">
        <f t="shared" si="26"/>
        <v>2515.12</v>
      </c>
      <c r="AY29" s="72">
        <f t="shared" si="21"/>
        <v>0.30550000000000033</v>
      </c>
      <c r="AZ29" s="71">
        <f t="shared" si="22"/>
        <v>111.3578050000001</v>
      </c>
      <c r="BA29" s="73">
        <f t="shared" si="23"/>
        <v>4.6326484191371649E-2</v>
      </c>
    </row>
    <row r="30" spans="1:53" x14ac:dyDescent="0.3">
      <c r="A30" s="115">
        <v>46205</v>
      </c>
      <c r="B30" s="115">
        <v>46209</v>
      </c>
      <c r="C30" s="112">
        <v>0</v>
      </c>
      <c r="D30" s="115">
        <v>46209</v>
      </c>
      <c r="E30" s="112" t="s">
        <v>213</v>
      </c>
      <c r="F30" s="131">
        <v>140837</v>
      </c>
      <c r="G30" s="112" t="s">
        <v>188</v>
      </c>
      <c r="H30" s="112" t="s">
        <v>189</v>
      </c>
      <c r="I30" s="112" t="s">
        <v>190</v>
      </c>
      <c r="J30" s="113" t="s">
        <v>122</v>
      </c>
      <c r="K30" s="113" t="s">
        <v>124</v>
      </c>
      <c r="L30" s="112" t="s">
        <v>31</v>
      </c>
      <c r="M30" s="112" t="s">
        <v>31</v>
      </c>
      <c r="N30" s="123">
        <v>8</v>
      </c>
      <c r="O30" s="112">
        <v>35</v>
      </c>
      <c r="P30" s="124">
        <v>297.8</v>
      </c>
      <c r="Q30" s="71">
        <v>6.45</v>
      </c>
      <c r="R30" s="71">
        <f t="shared" ref="R30" si="28">Q30*P30</f>
        <v>1920.8100000000002</v>
      </c>
      <c r="S30" s="71">
        <v>0.05</v>
      </c>
      <c r="T30" s="71">
        <f t="shared" ref="T30" si="29">S30*P30</f>
        <v>14.89</v>
      </c>
      <c r="U30" s="112" t="s">
        <v>26</v>
      </c>
      <c r="V30" s="113" t="s">
        <v>26</v>
      </c>
      <c r="W30" s="71">
        <f>X30*P30</f>
        <v>0</v>
      </c>
      <c r="X30" s="72">
        <v>0</v>
      </c>
      <c r="Y30" s="72">
        <f>Z30*P30</f>
        <v>28.142100000000003</v>
      </c>
      <c r="Z30" s="72">
        <v>9.4500000000000001E-2</v>
      </c>
      <c r="AA30" s="72" t="s">
        <v>134</v>
      </c>
      <c r="AB30" s="112">
        <v>130106</v>
      </c>
      <c r="AC30" s="71">
        <f t="shared" si="27"/>
        <v>1963.8421000000003</v>
      </c>
      <c r="AD30" s="71">
        <v>0</v>
      </c>
      <c r="AE30" s="1"/>
      <c r="AF30" s="29">
        <f t="shared" si="18"/>
        <v>6.5945000000000009</v>
      </c>
      <c r="AG30" s="114">
        <v>46213</v>
      </c>
      <c r="AH30" s="115">
        <v>46214</v>
      </c>
      <c r="AI30" s="112">
        <v>21</v>
      </c>
      <c r="AJ30" s="114">
        <f t="shared" si="19"/>
        <v>46234</v>
      </c>
      <c r="AK30" s="116" t="s">
        <v>324</v>
      </c>
      <c r="AL30" s="112">
        <v>10018</v>
      </c>
      <c r="AM30" s="112" t="s">
        <v>129</v>
      </c>
      <c r="AN30" s="112" t="s">
        <v>130</v>
      </c>
      <c r="AO30" s="118" t="s">
        <v>253</v>
      </c>
      <c r="AP30" s="125">
        <v>1014</v>
      </c>
      <c r="AQ30" s="71">
        <v>6.9</v>
      </c>
      <c r="AR30" s="71">
        <f t="shared" si="20"/>
        <v>2054.8200000000002</v>
      </c>
      <c r="AS30" s="111">
        <v>46247</v>
      </c>
      <c r="AT30" s="113" t="s">
        <v>487</v>
      </c>
      <c r="AU30" s="78">
        <v>2054.8200000000002</v>
      </c>
      <c r="AV30" s="71">
        <f t="shared" si="25"/>
        <v>0</v>
      </c>
      <c r="AW30" s="71"/>
      <c r="AX30" s="71">
        <f t="shared" si="26"/>
        <v>2054.8200000000002</v>
      </c>
      <c r="AY30" s="72">
        <f t="shared" si="21"/>
        <v>0.30549999999999944</v>
      </c>
      <c r="AZ30" s="71">
        <f t="shared" si="22"/>
        <v>90.977899999999863</v>
      </c>
      <c r="BA30" s="73">
        <f t="shared" si="23"/>
        <v>4.6326484191371503E-2</v>
      </c>
    </row>
    <row r="31" spans="1:53" x14ac:dyDescent="0.3">
      <c r="A31" s="115">
        <v>46205</v>
      </c>
      <c r="B31" s="115">
        <v>46209</v>
      </c>
      <c r="C31" s="112">
        <v>0</v>
      </c>
      <c r="D31" s="115">
        <v>46209</v>
      </c>
      <c r="E31" s="112" t="s">
        <v>213</v>
      </c>
      <c r="F31" s="131">
        <v>140837</v>
      </c>
      <c r="G31" s="112" t="s">
        <v>188</v>
      </c>
      <c r="H31" s="112" t="s">
        <v>189</v>
      </c>
      <c r="I31" s="112" t="s">
        <v>190</v>
      </c>
      <c r="J31" s="113" t="s">
        <v>122</v>
      </c>
      <c r="K31" s="113" t="s">
        <v>124</v>
      </c>
      <c r="L31" s="112" t="s">
        <v>31</v>
      </c>
      <c r="M31" s="112" t="s">
        <v>31</v>
      </c>
      <c r="N31" s="123">
        <v>7</v>
      </c>
      <c r="O31" s="112">
        <v>35</v>
      </c>
      <c r="P31" s="124">
        <v>258.01</v>
      </c>
      <c r="Q31" s="71">
        <v>6.45</v>
      </c>
      <c r="R31" s="71">
        <f>Q31*P31</f>
        <v>1664.1645000000001</v>
      </c>
      <c r="S31" s="71">
        <v>0.05</v>
      </c>
      <c r="T31" s="71">
        <f>S31*P31</f>
        <v>12.900500000000001</v>
      </c>
      <c r="U31" s="112" t="s">
        <v>26</v>
      </c>
      <c r="V31" s="113" t="s">
        <v>26</v>
      </c>
      <c r="W31" s="71">
        <f>X31*P31</f>
        <v>0</v>
      </c>
      <c r="X31" s="72">
        <v>0</v>
      </c>
      <c r="Y31" s="72">
        <f>Z31*P31</f>
        <v>24.381944999999998</v>
      </c>
      <c r="Z31" s="72">
        <v>9.4500000000000001E-2</v>
      </c>
      <c r="AA31" s="72" t="s">
        <v>134</v>
      </c>
      <c r="AB31" s="112">
        <v>130106</v>
      </c>
      <c r="AC31" s="71">
        <f t="shared" si="27"/>
        <v>1701.4469450000001</v>
      </c>
      <c r="AD31" s="71">
        <v>0</v>
      </c>
      <c r="AE31" s="1"/>
      <c r="AF31" s="29">
        <f t="shared" si="18"/>
        <v>6.5945000000000009</v>
      </c>
      <c r="AG31" s="114">
        <v>46213</v>
      </c>
      <c r="AH31" s="115">
        <v>46216</v>
      </c>
      <c r="AI31" s="112">
        <v>21</v>
      </c>
      <c r="AJ31" s="114">
        <f t="shared" si="19"/>
        <v>46234</v>
      </c>
      <c r="AK31" s="116" t="s">
        <v>324</v>
      </c>
      <c r="AL31" s="112">
        <v>10019</v>
      </c>
      <c r="AM31" s="112" t="s">
        <v>131</v>
      </c>
      <c r="AN31" s="112" t="s">
        <v>214</v>
      </c>
      <c r="AO31" s="118" t="s">
        <v>254</v>
      </c>
      <c r="AP31" s="125">
        <v>1015</v>
      </c>
      <c r="AQ31" s="71">
        <v>6.8</v>
      </c>
      <c r="AR31" s="71">
        <f t="shared" si="20"/>
        <v>1754.4679999999998</v>
      </c>
      <c r="AS31" s="111">
        <v>46252</v>
      </c>
      <c r="AT31" s="113">
        <v>8199</v>
      </c>
      <c r="AU31" s="78">
        <v>1754.47</v>
      </c>
      <c r="AV31" s="71">
        <f t="shared" ref="AV31:AV49" si="30">AU31-AR31</f>
        <v>2.00000000018008E-3</v>
      </c>
      <c r="AW31" s="71"/>
      <c r="AX31" s="71">
        <f t="shared" ref="AX31:AX44" si="31">AU31</f>
        <v>1754.47</v>
      </c>
      <c r="AY31" s="72">
        <f t="shared" si="21"/>
        <v>0.20549999999999891</v>
      </c>
      <c r="AZ31" s="71">
        <f t="shared" si="22"/>
        <v>53.021054999999706</v>
      </c>
      <c r="BA31" s="73">
        <f t="shared" si="23"/>
        <v>3.116233224656894E-2</v>
      </c>
    </row>
    <row r="32" spans="1:53" x14ac:dyDescent="0.3">
      <c r="A32" s="115">
        <v>46209</v>
      </c>
      <c r="B32" s="115">
        <v>46209</v>
      </c>
      <c r="C32" s="112">
        <v>14</v>
      </c>
      <c r="D32" s="130">
        <f>C32+B32</f>
        <v>46223</v>
      </c>
      <c r="E32" s="112" t="s">
        <v>224</v>
      </c>
      <c r="F32" s="112">
        <v>122471</v>
      </c>
      <c r="G32" s="112" t="s">
        <v>57</v>
      </c>
      <c r="H32" s="112" t="s">
        <v>59</v>
      </c>
      <c r="I32" s="112" t="s">
        <v>104</v>
      </c>
      <c r="J32" s="113" t="s">
        <v>109</v>
      </c>
      <c r="K32" s="113" t="s">
        <v>112</v>
      </c>
      <c r="L32" s="112" t="s">
        <v>32</v>
      </c>
      <c r="M32" s="112" t="s">
        <v>32</v>
      </c>
      <c r="N32" s="123">
        <v>6</v>
      </c>
      <c r="O32" s="112">
        <v>50</v>
      </c>
      <c r="P32" s="124">
        <v>402.25</v>
      </c>
      <c r="Q32" s="71">
        <v>11.35</v>
      </c>
      <c r="R32" s="71">
        <f t="shared" si="15"/>
        <v>4565.5374999999995</v>
      </c>
      <c r="S32" s="71">
        <v>0.05</v>
      </c>
      <c r="T32" s="71">
        <f t="shared" si="16"/>
        <v>20.112500000000001</v>
      </c>
      <c r="U32" s="26" t="s">
        <v>200</v>
      </c>
      <c r="V32" s="16" t="s">
        <v>27</v>
      </c>
      <c r="W32" s="11">
        <v>175</v>
      </c>
      <c r="X32" s="13">
        <f>W32/P32</f>
        <v>0.43505282784338101</v>
      </c>
      <c r="Y32" s="126">
        <v>493.04</v>
      </c>
      <c r="Z32" s="72">
        <f>Y32/P32</f>
        <v>1.2257054070851461</v>
      </c>
      <c r="AA32" s="72" t="s">
        <v>225</v>
      </c>
      <c r="AB32" s="120" t="s">
        <v>311</v>
      </c>
      <c r="AC32" s="71">
        <f t="shared" si="27"/>
        <v>5276.19</v>
      </c>
      <c r="AD32" s="71">
        <v>22.5</v>
      </c>
      <c r="AE32" s="1"/>
      <c r="AF32" s="13">
        <f t="shared" si="18"/>
        <v>13.116693598508389</v>
      </c>
      <c r="AG32" s="114">
        <v>46209</v>
      </c>
      <c r="AH32" s="115">
        <v>46211</v>
      </c>
      <c r="AI32" s="112">
        <v>21</v>
      </c>
      <c r="AJ32" s="114">
        <f t="shared" si="19"/>
        <v>46230</v>
      </c>
      <c r="AK32" s="116" t="s">
        <v>324</v>
      </c>
      <c r="AL32" s="112">
        <v>10013</v>
      </c>
      <c r="AM32" s="112" t="s">
        <v>125</v>
      </c>
      <c r="AN32" s="112" t="s">
        <v>126</v>
      </c>
      <c r="AO32" s="118" t="s">
        <v>226</v>
      </c>
      <c r="AP32" s="125">
        <v>1016</v>
      </c>
      <c r="AQ32" s="71">
        <v>13.85</v>
      </c>
      <c r="AR32" s="71">
        <f>AQ32*P32</f>
        <v>5571.1624999999995</v>
      </c>
      <c r="AS32" s="111">
        <v>46239</v>
      </c>
      <c r="AT32" s="113" t="s">
        <v>429</v>
      </c>
      <c r="AU32" s="78">
        <v>5571.16</v>
      </c>
      <c r="AV32" s="71">
        <f t="shared" si="30"/>
        <v>-2.4999999995998223E-3</v>
      </c>
      <c r="AW32" s="71"/>
      <c r="AX32" s="71">
        <f t="shared" si="31"/>
        <v>5571.16</v>
      </c>
      <c r="AY32" s="72">
        <f t="shared" si="21"/>
        <v>0.73330640149161042</v>
      </c>
      <c r="AZ32" s="71">
        <f t="shared" si="22"/>
        <v>294.97249999999985</v>
      </c>
      <c r="BA32" s="73">
        <f t="shared" si="23"/>
        <v>5.5906345298406677E-2</v>
      </c>
    </row>
    <row r="33" spans="1:53" x14ac:dyDescent="0.3">
      <c r="A33" s="115">
        <v>46210</v>
      </c>
      <c r="B33" s="115">
        <v>46212</v>
      </c>
      <c r="C33" s="112">
        <v>7</v>
      </c>
      <c r="D33" s="130">
        <f>C33+B33</f>
        <v>46219</v>
      </c>
      <c r="E33" s="112" t="s">
        <v>228</v>
      </c>
      <c r="F33" s="112">
        <v>12975</v>
      </c>
      <c r="G33" s="112" t="s">
        <v>95</v>
      </c>
      <c r="H33" s="112" t="s">
        <v>229</v>
      </c>
      <c r="I33" s="112" t="s">
        <v>230</v>
      </c>
      <c r="J33" s="113" t="s">
        <v>180</v>
      </c>
      <c r="K33" s="113" t="s">
        <v>173</v>
      </c>
      <c r="L33" s="112" t="s">
        <v>32</v>
      </c>
      <c r="M33" s="112" t="s">
        <v>32</v>
      </c>
      <c r="N33" s="123">
        <v>5</v>
      </c>
      <c r="O33" s="112">
        <v>50</v>
      </c>
      <c r="P33" s="124">
        <v>250</v>
      </c>
      <c r="Q33" s="71">
        <v>8</v>
      </c>
      <c r="R33" s="71">
        <f t="shared" si="15"/>
        <v>2000</v>
      </c>
      <c r="S33" s="71">
        <v>0.05</v>
      </c>
      <c r="T33" s="71">
        <f t="shared" si="16"/>
        <v>12.5</v>
      </c>
      <c r="U33" s="112" t="s">
        <v>185</v>
      </c>
      <c r="V33" s="113" t="s">
        <v>26</v>
      </c>
      <c r="W33" s="71">
        <v>0</v>
      </c>
      <c r="X33" s="72">
        <v>0</v>
      </c>
      <c r="Y33" s="72">
        <f>Z33*P33</f>
        <v>0</v>
      </c>
      <c r="Z33" s="72">
        <v>0</v>
      </c>
      <c r="AA33" s="72" t="s">
        <v>26</v>
      </c>
      <c r="AB33" s="112" t="s">
        <v>26</v>
      </c>
      <c r="AC33" s="71">
        <f t="shared" si="27"/>
        <v>2012.6</v>
      </c>
      <c r="AD33" s="71">
        <v>0.1</v>
      </c>
      <c r="AE33" s="71"/>
      <c r="AF33" s="72">
        <f t="shared" si="18"/>
        <v>8.0503999999999998</v>
      </c>
      <c r="AG33" s="114">
        <v>46212</v>
      </c>
      <c r="AH33" s="115">
        <v>46213</v>
      </c>
      <c r="AI33" s="112">
        <v>21</v>
      </c>
      <c r="AJ33" s="114">
        <f t="shared" si="19"/>
        <v>46233</v>
      </c>
      <c r="AK33" s="116" t="s">
        <v>324</v>
      </c>
      <c r="AL33" s="112">
        <v>10014</v>
      </c>
      <c r="AM33" s="112" t="s">
        <v>218</v>
      </c>
      <c r="AN33" s="112" t="s">
        <v>449</v>
      </c>
      <c r="AO33" s="118" t="s">
        <v>231</v>
      </c>
      <c r="AP33" s="125">
        <v>1017</v>
      </c>
      <c r="AQ33" s="71">
        <v>8.5</v>
      </c>
      <c r="AR33" s="71">
        <f t="shared" si="20"/>
        <v>2125</v>
      </c>
      <c r="AS33" s="111">
        <v>46237</v>
      </c>
      <c r="AT33" s="113">
        <v>62336</v>
      </c>
      <c r="AU33" s="78">
        <v>2125</v>
      </c>
      <c r="AV33" s="71">
        <f t="shared" si="30"/>
        <v>0</v>
      </c>
      <c r="AW33" s="71"/>
      <c r="AX33" s="71">
        <f t="shared" si="31"/>
        <v>2125</v>
      </c>
      <c r="AY33" s="72">
        <f t="shared" si="21"/>
        <v>0.44960000000000022</v>
      </c>
      <c r="AZ33" s="71">
        <f t="shared" si="22"/>
        <v>112.40000000000009</v>
      </c>
      <c r="BA33" s="73">
        <f t="shared" si="23"/>
        <v>5.584815661333601E-2</v>
      </c>
    </row>
    <row r="34" spans="1:53" x14ac:dyDescent="0.3">
      <c r="A34" s="115">
        <v>46210</v>
      </c>
      <c r="B34" s="115">
        <v>46210</v>
      </c>
      <c r="C34" s="112">
        <v>0</v>
      </c>
      <c r="D34" s="115">
        <v>46210</v>
      </c>
      <c r="E34" s="112" t="s">
        <v>237</v>
      </c>
      <c r="F34" s="112" t="s">
        <v>262</v>
      </c>
      <c r="G34" s="112" t="s">
        <v>238</v>
      </c>
      <c r="H34" s="112" t="s">
        <v>239</v>
      </c>
      <c r="I34" s="112" t="s">
        <v>207</v>
      </c>
      <c r="J34" s="113" t="s">
        <v>240</v>
      </c>
      <c r="K34" s="113" t="s">
        <v>242</v>
      </c>
      <c r="L34" s="112" t="s">
        <v>32</v>
      </c>
      <c r="M34" s="112" t="s">
        <v>32</v>
      </c>
      <c r="N34" s="123">
        <v>5</v>
      </c>
      <c r="O34" s="112">
        <v>80</v>
      </c>
      <c r="P34" s="124">
        <v>400</v>
      </c>
      <c r="Q34" s="71">
        <v>8.9499999999999993</v>
      </c>
      <c r="R34" s="71">
        <f t="shared" ref="R34:R81" si="32">Q34*P34</f>
        <v>3579.9999999999995</v>
      </c>
      <c r="S34" s="71">
        <v>0.05</v>
      </c>
      <c r="T34" s="71">
        <f t="shared" ref="T34:T81" si="33">S34*P34</f>
        <v>20</v>
      </c>
      <c r="U34" s="112" t="s">
        <v>200</v>
      </c>
      <c r="V34" s="113">
        <v>103800.01</v>
      </c>
      <c r="W34" s="71">
        <v>280.06</v>
      </c>
      <c r="X34" s="72">
        <f>W34/P34</f>
        <v>0.70015000000000005</v>
      </c>
      <c r="Y34" s="126">
        <f>Z34*P34</f>
        <v>24</v>
      </c>
      <c r="Z34" s="72">
        <v>0.06</v>
      </c>
      <c r="AA34" s="72" t="s">
        <v>90</v>
      </c>
      <c r="AB34" s="120" t="s">
        <v>281</v>
      </c>
      <c r="AC34" s="71">
        <f>R34+T34+W34+Y34+AD34</f>
        <v>3904.0599999999995</v>
      </c>
      <c r="AD34" s="71">
        <v>0</v>
      </c>
      <c r="AE34" s="1"/>
      <c r="AF34" s="29">
        <f t="shared" si="18"/>
        <v>9.7601499999999994</v>
      </c>
      <c r="AG34" s="114">
        <v>46213</v>
      </c>
      <c r="AH34" s="115">
        <v>46216</v>
      </c>
      <c r="AI34" s="112">
        <v>21</v>
      </c>
      <c r="AJ34" s="114">
        <f t="shared" si="19"/>
        <v>46234</v>
      </c>
      <c r="AK34" s="116" t="s">
        <v>324</v>
      </c>
      <c r="AL34" s="112">
        <v>10016</v>
      </c>
      <c r="AM34" s="112" t="s">
        <v>125</v>
      </c>
      <c r="AN34" s="112" t="s">
        <v>126</v>
      </c>
      <c r="AO34" s="118" t="s">
        <v>241</v>
      </c>
      <c r="AP34" s="125">
        <v>1018</v>
      </c>
      <c r="AQ34" s="71">
        <v>12.25</v>
      </c>
      <c r="AR34" s="71">
        <f t="shared" si="20"/>
        <v>4900</v>
      </c>
      <c r="AS34" s="111">
        <v>46239</v>
      </c>
      <c r="AT34" s="113" t="s">
        <v>429</v>
      </c>
      <c r="AU34" s="78">
        <v>4900</v>
      </c>
      <c r="AV34" s="71">
        <f t="shared" si="30"/>
        <v>0</v>
      </c>
      <c r="AW34" s="71"/>
      <c r="AX34" s="71">
        <f t="shared" si="31"/>
        <v>4900</v>
      </c>
      <c r="AY34" s="72">
        <f t="shared" si="21"/>
        <v>2.4898500000000006</v>
      </c>
      <c r="AZ34" s="71">
        <f t="shared" si="22"/>
        <v>995.94000000000051</v>
      </c>
      <c r="BA34" s="73">
        <f t="shared" si="23"/>
        <v>0.25510366131668066</v>
      </c>
    </row>
    <row r="35" spans="1:53" x14ac:dyDescent="0.3">
      <c r="A35" s="115">
        <v>46211</v>
      </c>
      <c r="B35" s="115">
        <v>46212</v>
      </c>
      <c r="C35" s="112">
        <v>14</v>
      </c>
      <c r="D35" s="115">
        <f>C35+B35</f>
        <v>46226</v>
      </c>
      <c r="E35" s="112" t="s">
        <v>243</v>
      </c>
      <c r="F35" s="112" t="s">
        <v>256</v>
      </c>
      <c r="G35" s="112" t="s">
        <v>57</v>
      </c>
      <c r="H35" s="112" t="s">
        <v>59</v>
      </c>
      <c r="I35" s="112" t="s">
        <v>104</v>
      </c>
      <c r="J35" s="113" t="s">
        <v>251</v>
      </c>
      <c r="K35" s="113" t="s">
        <v>252</v>
      </c>
      <c r="L35" s="112" t="s">
        <v>32</v>
      </c>
      <c r="M35" s="112" t="s">
        <v>32</v>
      </c>
      <c r="N35" s="123">
        <v>6</v>
      </c>
      <c r="O35" s="112">
        <v>80</v>
      </c>
      <c r="P35" s="124">
        <v>470.9</v>
      </c>
      <c r="Q35" s="71">
        <v>12.2</v>
      </c>
      <c r="R35" s="71">
        <f t="shared" si="32"/>
        <v>5744.98</v>
      </c>
      <c r="S35" s="71">
        <v>0.05</v>
      </c>
      <c r="T35" s="71">
        <f t="shared" si="33"/>
        <v>23.545000000000002</v>
      </c>
      <c r="U35" s="112" t="s">
        <v>200</v>
      </c>
      <c r="V35" s="113">
        <v>103800.01</v>
      </c>
      <c r="W35" s="71">
        <v>329.7</v>
      </c>
      <c r="X35" s="72">
        <f>W35/P35</f>
        <v>0.70014865151836914</v>
      </c>
      <c r="Y35" s="126">
        <v>28.26</v>
      </c>
      <c r="Z35" s="72">
        <v>0.06</v>
      </c>
      <c r="AA35" s="72" t="s">
        <v>90</v>
      </c>
      <c r="AB35" s="120" t="s">
        <v>281</v>
      </c>
      <c r="AC35" s="71">
        <f t="shared" si="27"/>
        <v>6148.9849999999997</v>
      </c>
      <c r="AD35" s="71">
        <v>22.5</v>
      </c>
      <c r="AE35" s="1"/>
      <c r="AF35" s="29">
        <f t="shared" si="18"/>
        <v>13.057942238267149</v>
      </c>
      <c r="AG35" s="114">
        <v>46213</v>
      </c>
      <c r="AH35" s="115">
        <v>46216</v>
      </c>
      <c r="AI35" s="112">
        <v>21</v>
      </c>
      <c r="AJ35" s="114">
        <f t="shared" si="19"/>
        <v>46234</v>
      </c>
      <c r="AK35" s="116" t="s">
        <v>324</v>
      </c>
      <c r="AL35" s="112">
        <v>10016</v>
      </c>
      <c r="AM35" s="112" t="s">
        <v>125</v>
      </c>
      <c r="AN35" s="112" t="s">
        <v>126</v>
      </c>
      <c r="AO35" s="118" t="s">
        <v>241</v>
      </c>
      <c r="AP35" s="125">
        <v>1018</v>
      </c>
      <c r="AQ35" s="71">
        <v>13.85</v>
      </c>
      <c r="AR35" s="71">
        <f t="shared" si="20"/>
        <v>6521.9649999999992</v>
      </c>
      <c r="AS35" s="111">
        <v>46239</v>
      </c>
      <c r="AT35" s="113" t="s">
        <v>429</v>
      </c>
      <c r="AU35" s="78">
        <v>6521.97</v>
      </c>
      <c r="AV35" s="71">
        <f t="shared" si="30"/>
        <v>5.0000000010186341E-3</v>
      </c>
      <c r="AW35" s="71"/>
      <c r="AX35" s="71">
        <f t="shared" si="31"/>
        <v>6521.97</v>
      </c>
      <c r="AY35" s="72">
        <f t="shared" si="21"/>
        <v>0.79205776173285081</v>
      </c>
      <c r="AZ35" s="71">
        <f t="shared" si="22"/>
        <v>372.97999999999956</v>
      </c>
      <c r="BA35" s="73">
        <f t="shared" si="23"/>
        <v>6.0657165369569027E-2</v>
      </c>
    </row>
    <row r="36" spans="1:53" x14ac:dyDescent="0.3">
      <c r="A36" s="115">
        <v>46211</v>
      </c>
      <c r="B36" s="115">
        <v>46215</v>
      </c>
      <c r="C36" s="112">
        <v>7</v>
      </c>
      <c r="D36" s="130">
        <f>C36+B36</f>
        <v>46222</v>
      </c>
      <c r="E36" s="112" t="s">
        <v>244</v>
      </c>
      <c r="F36" s="112">
        <v>12988</v>
      </c>
      <c r="G36" s="112" t="s">
        <v>95</v>
      </c>
      <c r="H36" s="112" t="s">
        <v>229</v>
      </c>
      <c r="I36" s="112" t="s">
        <v>230</v>
      </c>
      <c r="J36" s="113" t="s">
        <v>180</v>
      </c>
      <c r="K36" s="113" t="s">
        <v>173</v>
      </c>
      <c r="L36" s="112" t="s">
        <v>32</v>
      </c>
      <c r="M36" s="112" t="s">
        <v>32</v>
      </c>
      <c r="N36" s="123">
        <v>37</v>
      </c>
      <c r="O36" s="112">
        <v>50</v>
      </c>
      <c r="P36" s="124">
        <f>O36*N36</f>
        <v>1850</v>
      </c>
      <c r="Q36" s="71">
        <v>7.9</v>
      </c>
      <c r="R36" s="71">
        <f t="shared" si="32"/>
        <v>14615</v>
      </c>
      <c r="S36" s="71">
        <v>0.05</v>
      </c>
      <c r="T36" s="71">
        <f t="shared" si="33"/>
        <v>92.5</v>
      </c>
      <c r="U36" s="112" t="s">
        <v>185</v>
      </c>
      <c r="V36" s="113" t="s">
        <v>26</v>
      </c>
      <c r="W36" s="71">
        <f t="shared" ref="W36:W40" si="34">X36*P36</f>
        <v>0</v>
      </c>
      <c r="X36" s="72">
        <v>0</v>
      </c>
      <c r="Y36" s="126">
        <f t="shared" ref="Y36:Y43" si="35">Z36*P36</f>
        <v>259</v>
      </c>
      <c r="Z36" s="72">
        <v>0.14000000000000001</v>
      </c>
      <c r="AA36" s="72" t="s">
        <v>90</v>
      </c>
      <c r="AB36" s="120" t="s">
        <v>277</v>
      </c>
      <c r="AC36" s="71">
        <f t="shared" si="27"/>
        <v>14966.6</v>
      </c>
      <c r="AD36" s="71">
        <v>0.1</v>
      </c>
      <c r="AE36" s="1"/>
      <c r="AF36" s="29">
        <f t="shared" si="18"/>
        <v>8.090054054054054</v>
      </c>
      <c r="AG36" s="114">
        <v>46214</v>
      </c>
      <c r="AH36" s="115">
        <v>46215</v>
      </c>
      <c r="AI36" s="112">
        <v>21</v>
      </c>
      <c r="AJ36" s="114">
        <f t="shared" si="19"/>
        <v>46235</v>
      </c>
      <c r="AK36" s="116" t="s">
        <v>324</v>
      </c>
      <c r="AL36" s="112">
        <v>10017</v>
      </c>
      <c r="AM36" s="112" t="s">
        <v>125</v>
      </c>
      <c r="AN36" s="112" t="s">
        <v>126</v>
      </c>
      <c r="AO36" s="118" t="s">
        <v>247</v>
      </c>
      <c r="AP36" s="125">
        <v>1019</v>
      </c>
      <c r="AQ36" s="71">
        <v>8.85</v>
      </c>
      <c r="AR36" s="71">
        <f t="shared" si="20"/>
        <v>16372.5</v>
      </c>
      <c r="AS36" s="111">
        <v>46239</v>
      </c>
      <c r="AT36" s="113" t="s">
        <v>429</v>
      </c>
      <c r="AU36" s="78">
        <v>16372.5</v>
      </c>
      <c r="AV36" s="71">
        <f t="shared" si="30"/>
        <v>0</v>
      </c>
      <c r="AW36" s="71"/>
      <c r="AX36" s="71">
        <f t="shared" si="31"/>
        <v>16372.5</v>
      </c>
      <c r="AY36" s="72">
        <f t="shared" si="21"/>
        <v>0.75994594594594567</v>
      </c>
      <c r="AZ36" s="71">
        <f t="shared" si="22"/>
        <v>1405.8999999999996</v>
      </c>
      <c r="BA36" s="73">
        <f t="shared" si="23"/>
        <v>9.3935830449133367E-2</v>
      </c>
    </row>
    <row r="37" spans="1:53" x14ac:dyDescent="0.3">
      <c r="A37" s="115">
        <v>46212</v>
      </c>
      <c r="B37" s="115">
        <v>46213</v>
      </c>
      <c r="C37" s="112">
        <v>0</v>
      </c>
      <c r="D37" s="115">
        <v>46212</v>
      </c>
      <c r="E37" s="112" t="s">
        <v>245</v>
      </c>
      <c r="F37" s="112">
        <v>647543</v>
      </c>
      <c r="G37" s="112" t="s">
        <v>40</v>
      </c>
      <c r="H37" s="112" t="s">
        <v>33</v>
      </c>
      <c r="I37" s="112" t="s">
        <v>34</v>
      </c>
      <c r="J37" s="113" t="s">
        <v>121</v>
      </c>
      <c r="K37" s="113" t="s">
        <v>123</v>
      </c>
      <c r="L37" s="112" t="s">
        <v>31</v>
      </c>
      <c r="M37" s="112" t="s">
        <v>31</v>
      </c>
      <c r="N37" s="123">
        <v>20</v>
      </c>
      <c r="O37" s="112">
        <v>35</v>
      </c>
      <c r="P37" s="124">
        <v>780.55</v>
      </c>
      <c r="Q37" s="71">
        <v>6.35</v>
      </c>
      <c r="R37" s="71">
        <f t="shared" si="32"/>
        <v>4956.4924999999994</v>
      </c>
      <c r="S37" s="71">
        <v>0.05</v>
      </c>
      <c r="T37" s="71">
        <f t="shared" si="33"/>
        <v>39.027500000000003</v>
      </c>
      <c r="U37" s="112" t="s">
        <v>246</v>
      </c>
      <c r="V37" s="113" t="s">
        <v>26</v>
      </c>
      <c r="W37" s="71">
        <f t="shared" si="34"/>
        <v>0</v>
      </c>
      <c r="X37" s="72">
        <v>0</v>
      </c>
      <c r="Y37" s="72">
        <f t="shared" si="35"/>
        <v>58.634916000000004</v>
      </c>
      <c r="Z37" s="72">
        <v>7.5120000000000006E-2</v>
      </c>
      <c r="AA37" s="72" t="s">
        <v>134</v>
      </c>
      <c r="AB37" s="112">
        <v>130381</v>
      </c>
      <c r="AC37" s="71">
        <f t="shared" si="27"/>
        <v>5054.1549159999995</v>
      </c>
      <c r="AD37" s="71">
        <v>0</v>
      </c>
      <c r="AE37" s="1"/>
      <c r="AF37" s="29">
        <f t="shared" si="18"/>
        <v>6.4751199999999995</v>
      </c>
      <c r="AG37" s="114">
        <v>46213</v>
      </c>
      <c r="AH37" s="115">
        <v>46216</v>
      </c>
      <c r="AI37" s="112">
        <v>21</v>
      </c>
      <c r="AJ37" s="114">
        <f t="shared" si="19"/>
        <v>46234</v>
      </c>
      <c r="AK37" s="116" t="s">
        <v>324</v>
      </c>
      <c r="AL37" s="112">
        <v>10019</v>
      </c>
      <c r="AM37" s="112" t="s">
        <v>131</v>
      </c>
      <c r="AN37" s="112" t="s">
        <v>214</v>
      </c>
      <c r="AO37" s="118" t="s">
        <v>254</v>
      </c>
      <c r="AP37" s="125">
        <v>1020</v>
      </c>
      <c r="AQ37" s="71">
        <v>6.8</v>
      </c>
      <c r="AR37" s="71">
        <f t="shared" si="20"/>
        <v>5307.74</v>
      </c>
      <c r="AS37" s="111">
        <v>46252</v>
      </c>
      <c r="AT37" s="113">
        <v>8199</v>
      </c>
      <c r="AU37" s="78">
        <v>5307.74</v>
      </c>
      <c r="AV37" s="71">
        <f t="shared" si="30"/>
        <v>0</v>
      </c>
      <c r="AW37" s="71"/>
      <c r="AX37" s="71">
        <f t="shared" si="31"/>
        <v>5307.74</v>
      </c>
      <c r="AY37" s="72">
        <f t="shared" si="21"/>
        <v>0.32488000000000028</v>
      </c>
      <c r="AZ37" s="71">
        <f t="shared" si="22"/>
        <v>253.58508400000028</v>
      </c>
      <c r="BA37" s="73">
        <f t="shared" si="23"/>
        <v>5.0173587516524835E-2</v>
      </c>
    </row>
    <row r="38" spans="1:53" x14ac:dyDescent="0.3">
      <c r="A38" s="115">
        <v>46212</v>
      </c>
      <c r="B38" s="115">
        <v>46213</v>
      </c>
      <c r="C38" s="112">
        <v>0</v>
      </c>
      <c r="D38" s="115">
        <v>46212</v>
      </c>
      <c r="E38" s="112" t="s">
        <v>245</v>
      </c>
      <c r="F38" s="112">
        <v>647543</v>
      </c>
      <c r="G38" s="112" t="s">
        <v>40</v>
      </c>
      <c r="H38" s="112" t="s">
        <v>33</v>
      </c>
      <c r="I38" s="112" t="s">
        <v>34</v>
      </c>
      <c r="J38" s="113" t="s">
        <v>121</v>
      </c>
      <c r="K38" s="113" t="s">
        <v>123</v>
      </c>
      <c r="L38" s="112" t="s">
        <v>31</v>
      </c>
      <c r="M38" s="112" t="s">
        <v>31</v>
      </c>
      <c r="N38" s="123">
        <v>32</v>
      </c>
      <c r="O38" s="112">
        <v>35</v>
      </c>
      <c r="P38" s="124">
        <v>1216.43</v>
      </c>
      <c r="Q38" s="71">
        <v>6.35</v>
      </c>
      <c r="R38" s="71">
        <f>Q38*P38</f>
        <v>7724.3305</v>
      </c>
      <c r="S38" s="71">
        <v>0.05</v>
      </c>
      <c r="T38" s="71">
        <f>S38*P38</f>
        <v>60.821500000000007</v>
      </c>
      <c r="U38" s="112" t="s">
        <v>246</v>
      </c>
      <c r="V38" s="113" t="s">
        <v>26</v>
      </c>
      <c r="W38" s="71">
        <f t="shared" si="34"/>
        <v>0</v>
      </c>
      <c r="X38" s="72">
        <v>0</v>
      </c>
      <c r="Y38" s="72">
        <f t="shared" si="35"/>
        <v>91.366057299999994</v>
      </c>
      <c r="Z38" s="72">
        <v>7.5109999999999996E-2</v>
      </c>
      <c r="AA38" s="72" t="s">
        <v>134</v>
      </c>
      <c r="AB38" s="112">
        <v>130381</v>
      </c>
      <c r="AC38" s="71">
        <f t="shared" si="27"/>
        <v>7876.5180572999998</v>
      </c>
      <c r="AD38" s="71">
        <v>0</v>
      </c>
      <c r="AE38" s="1"/>
      <c r="AF38" s="29">
        <f t="shared" si="18"/>
        <v>6.4751099999999999</v>
      </c>
      <c r="AG38" s="114">
        <v>46216</v>
      </c>
      <c r="AH38" s="115">
        <v>46218</v>
      </c>
      <c r="AI38" s="112">
        <v>21</v>
      </c>
      <c r="AJ38" s="114">
        <f t="shared" si="19"/>
        <v>46237</v>
      </c>
      <c r="AK38" s="116" t="s">
        <v>324</v>
      </c>
      <c r="AL38" s="112">
        <v>10020</v>
      </c>
      <c r="AM38" s="112" t="s">
        <v>131</v>
      </c>
      <c r="AN38" s="112" t="s">
        <v>214</v>
      </c>
      <c r="AO38" s="118" t="s">
        <v>258</v>
      </c>
      <c r="AP38" s="125">
        <v>1022</v>
      </c>
      <c r="AQ38" s="71">
        <v>6.8</v>
      </c>
      <c r="AR38" s="71">
        <f t="shared" si="20"/>
        <v>8271.7240000000002</v>
      </c>
      <c r="AS38" s="111">
        <v>46252</v>
      </c>
      <c r="AT38" s="113">
        <v>8199</v>
      </c>
      <c r="AU38" s="78">
        <v>8271.7199999999993</v>
      </c>
      <c r="AV38" s="71">
        <f t="shared" si="30"/>
        <v>-4.0000000008149073E-3</v>
      </c>
      <c r="AW38" s="71"/>
      <c r="AX38" s="71">
        <f t="shared" si="31"/>
        <v>8271.7199999999993</v>
      </c>
      <c r="AY38" s="72">
        <f t="shared" si="21"/>
        <v>0.3248899999999999</v>
      </c>
      <c r="AZ38" s="71">
        <f t="shared" si="22"/>
        <v>395.20594270000038</v>
      </c>
      <c r="BA38" s="73">
        <f t="shared" si="23"/>
        <v>5.0175209378682355E-2</v>
      </c>
    </row>
    <row r="39" spans="1:53" x14ac:dyDescent="0.3">
      <c r="A39" s="115">
        <v>46213</v>
      </c>
      <c r="B39" s="115">
        <v>46213</v>
      </c>
      <c r="C39" s="112">
        <v>21</v>
      </c>
      <c r="D39" s="132">
        <f>C39+B39</f>
        <v>46234</v>
      </c>
      <c r="E39" s="112" t="s">
        <v>248</v>
      </c>
      <c r="F39" s="112">
        <v>74880</v>
      </c>
      <c r="G39" s="112" t="s">
        <v>145</v>
      </c>
      <c r="H39" s="112" t="s">
        <v>263</v>
      </c>
      <c r="I39" s="112" t="s">
        <v>230</v>
      </c>
      <c r="J39" s="113" t="s">
        <v>249</v>
      </c>
      <c r="K39" s="113" t="s">
        <v>250</v>
      </c>
      <c r="L39" s="112" t="s">
        <v>32</v>
      </c>
      <c r="M39" s="112" t="s">
        <v>32</v>
      </c>
      <c r="N39" s="123">
        <v>3</v>
      </c>
      <c r="O39" s="112">
        <v>80</v>
      </c>
      <c r="P39" s="124">
        <v>256</v>
      </c>
      <c r="Q39" s="71">
        <v>12.25</v>
      </c>
      <c r="R39" s="71">
        <f t="shared" si="32"/>
        <v>3136</v>
      </c>
      <c r="S39" s="71">
        <v>0.05</v>
      </c>
      <c r="T39" s="71">
        <f t="shared" si="33"/>
        <v>12.8</v>
      </c>
      <c r="U39" s="112" t="s">
        <v>26</v>
      </c>
      <c r="V39" s="113" t="s">
        <v>26</v>
      </c>
      <c r="W39" s="71">
        <f t="shared" si="34"/>
        <v>0</v>
      </c>
      <c r="X39" s="72">
        <v>0</v>
      </c>
      <c r="Y39" s="72">
        <f t="shared" si="35"/>
        <v>0</v>
      </c>
      <c r="Z39" s="72">
        <v>0</v>
      </c>
      <c r="AA39" s="72" t="s">
        <v>26</v>
      </c>
      <c r="AB39" s="112" t="s">
        <v>26</v>
      </c>
      <c r="AC39" s="71">
        <f t="shared" si="27"/>
        <v>3149.8</v>
      </c>
      <c r="AD39" s="71">
        <v>1</v>
      </c>
      <c r="AE39" s="1"/>
      <c r="AF39" s="29">
        <f t="shared" si="18"/>
        <v>12.303906250000001</v>
      </c>
      <c r="AG39" s="114">
        <v>46214</v>
      </c>
      <c r="AH39" s="115">
        <v>46215</v>
      </c>
      <c r="AI39" s="112">
        <v>14</v>
      </c>
      <c r="AJ39" s="114">
        <f t="shared" si="19"/>
        <v>46228</v>
      </c>
      <c r="AK39" s="116" t="s">
        <v>324</v>
      </c>
      <c r="AL39" s="112">
        <v>10021</v>
      </c>
      <c r="AM39" s="112" t="s">
        <v>259</v>
      </c>
      <c r="AN39" s="112" t="s">
        <v>257</v>
      </c>
      <c r="AO39" s="118" t="s">
        <v>255</v>
      </c>
      <c r="AP39" s="125">
        <v>1021</v>
      </c>
      <c r="AQ39" s="71">
        <v>13.5</v>
      </c>
      <c r="AR39" s="71">
        <f t="shared" si="20"/>
        <v>3456</v>
      </c>
      <c r="AS39" s="111">
        <v>46238</v>
      </c>
      <c r="AT39" s="113" t="s">
        <v>429</v>
      </c>
      <c r="AU39" s="83">
        <v>3456</v>
      </c>
      <c r="AV39" s="71">
        <f t="shared" si="30"/>
        <v>0</v>
      </c>
      <c r="AW39" s="71"/>
      <c r="AX39" s="71">
        <f t="shared" si="31"/>
        <v>3456</v>
      </c>
      <c r="AY39" s="72">
        <f t="shared" si="21"/>
        <v>1.1960937499999993</v>
      </c>
      <c r="AZ39" s="71">
        <f t="shared" si="22"/>
        <v>306.19999999999982</v>
      </c>
      <c r="BA39" s="73">
        <f t="shared" si="23"/>
        <v>9.7212521429931989E-2</v>
      </c>
    </row>
    <row r="40" spans="1:53" x14ac:dyDescent="0.3">
      <c r="A40" s="115">
        <v>46216</v>
      </c>
      <c r="B40" s="115">
        <v>46218</v>
      </c>
      <c r="C40" s="112">
        <v>0</v>
      </c>
      <c r="D40" s="115">
        <v>46217</v>
      </c>
      <c r="E40" s="112" t="s">
        <v>264</v>
      </c>
      <c r="F40" s="133">
        <v>5080841</v>
      </c>
      <c r="G40" s="112" t="s">
        <v>205</v>
      </c>
      <c r="H40" s="112" t="s">
        <v>206</v>
      </c>
      <c r="I40" s="112" t="s">
        <v>207</v>
      </c>
      <c r="J40" s="113" t="s">
        <v>180</v>
      </c>
      <c r="K40" s="122" t="s">
        <v>173</v>
      </c>
      <c r="L40" s="112" t="s">
        <v>32</v>
      </c>
      <c r="M40" s="112" t="s">
        <v>32</v>
      </c>
      <c r="N40" s="123">
        <v>20</v>
      </c>
      <c r="O40" s="112">
        <v>50</v>
      </c>
      <c r="P40" s="124">
        <f>N40*O40</f>
        <v>1000</v>
      </c>
      <c r="Q40" s="71">
        <v>8.1</v>
      </c>
      <c r="R40" s="71">
        <f t="shared" si="32"/>
        <v>8100</v>
      </c>
      <c r="S40" s="71">
        <v>0.05</v>
      </c>
      <c r="T40" s="71">
        <f t="shared" si="33"/>
        <v>50</v>
      </c>
      <c r="U40" s="112" t="s">
        <v>185</v>
      </c>
      <c r="V40" s="113" t="s">
        <v>26</v>
      </c>
      <c r="W40" s="71">
        <f t="shared" si="34"/>
        <v>0</v>
      </c>
      <c r="X40" s="72">
        <v>0</v>
      </c>
      <c r="Y40" s="126">
        <f t="shared" si="35"/>
        <v>160</v>
      </c>
      <c r="Z40" s="72">
        <v>0.16</v>
      </c>
      <c r="AA40" s="72" t="s">
        <v>90</v>
      </c>
      <c r="AB40" s="120" t="s">
        <v>366</v>
      </c>
      <c r="AC40" s="71">
        <f t="shared" si="27"/>
        <v>8311</v>
      </c>
      <c r="AD40" s="71">
        <v>1</v>
      </c>
      <c r="AE40" s="1"/>
      <c r="AF40" s="29">
        <f t="shared" si="18"/>
        <v>8.3109999999999999</v>
      </c>
      <c r="AG40" s="142">
        <v>46217</v>
      </c>
      <c r="AH40" s="115">
        <v>46219</v>
      </c>
      <c r="AI40" s="112">
        <v>21</v>
      </c>
      <c r="AJ40" s="114">
        <f t="shared" si="19"/>
        <v>46238</v>
      </c>
      <c r="AK40" s="116" t="s">
        <v>324</v>
      </c>
      <c r="AL40" s="112">
        <v>10022</v>
      </c>
      <c r="AM40" s="112" t="s">
        <v>125</v>
      </c>
      <c r="AN40" s="112" t="s">
        <v>126</v>
      </c>
      <c r="AO40" s="118" t="s">
        <v>265</v>
      </c>
      <c r="AP40" s="125">
        <v>1026</v>
      </c>
      <c r="AQ40" s="71">
        <v>9</v>
      </c>
      <c r="AR40" s="71">
        <f t="shared" si="20"/>
        <v>9000</v>
      </c>
      <c r="AS40" s="111">
        <v>46239</v>
      </c>
      <c r="AT40" s="113" t="s">
        <v>429</v>
      </c>
      <c r="AU40" s="78">
        <v>9000</v>
      </c>
      <c r="AV40" s="71">
        <f>AU40-AR40</f>
        <v>0</v>
      </c>
      <c r="AW40" s="71"/>
      <c r="AX40" s="71">
        <f>AU40</f>
        <v>9000</v>
      </c>
      <c r="AY40" s="72">
        <f t="shared" si="21"/>
        <v>0.68900000000000006</v>
      </c>
      <c r="AZ40" s="71">
        <f t="shared" si="22"/>
        <v>689</v>
      </c>
      <c r="BA40" s="73">
        <f t="shared" si="23"/>
        <v>8.2902177836602101E-2</v>
      </c>
    </row>
    <row r="41" spans="1:53" x14ac:dyDescent="0.3">
      <c r="A41" s="115">
        <v>46216</v>
      </c>
      <c r="B41" s="115">
        <v>46217</v>
      </c>
      <c r="C41" s="112">
        <v>0</v>
      </c>
      <c r="D41" s="115">
        <f t="shared" ref="D41:D50" si="36">C41+B41</f>
        <v>46217</v>
      </c>
      <c r="E41" s="112" t="s">
        <v>271</v>
      </c>
      <c r="F41" s="112">
        <v>140906</v>
      </c>
      <c r="G41" s="112" t="s">
        <v>188</v>
      </c>
      <c r="H41" s="112" t="s">
        <v>189</v>
      </c>
      <c r="I41" s="112" t="s">
        <v>34</v>
      </c>
      <c r="J41" s="113" t="s">
        <v>122</v>
      </c>
      <c r="K41" s="113" t="s">
        <v>124</v>
      </c>
      <c r="L41" s="112" t="s">
        <v>31</v>
      </c>
      <c r="M41" s="112" t="s">
        <v>31</v>
      </c>
      <c r="N41" s="123">
        <v>10</v>
      </c>
      <c r="O41" s="112">
        <v>35</v>
      </c>
      <c r="P41" s="124">
        <v>367.45</v>
      </c>
      <c r="Q41" s="71">
        <v>6.4</v>
      </c>
      <c r="R41" s="71">
        <f t="shared" si="32"/>
        <v>2351.6799999999998</v>
      </c>
      <c r="S41" s="71">
        <v>0.05</v>
      </c>
      <c r="T41" s="71">
        <f t="shared" si="33"/>
        <v>18.372499999999999</v>
      </c>
      <c r="U41" s="112" t="s">
        <v>26</v>
      </c>
      <c r="V41" s="113" t="s">
        <v>26</v>
      </c>
      <c r="W41" s="71">
        <v>0</v>
      </c>
      <c r="X41" s="72">
        <v>0</v>
      </c>
      <c r="Y41" s="72">
        <f t="shared" si="35"/>
        <v>43.386658749999995</v>
      </c>
      <c r="Z41" s="72">
        <v>0.118075</v>
      </c>
      <c r="AA41" s="72" t="s">
        <v>134</v>
      </c>
      <c r="AB41" s="112">
        <v>130382</v>
      </c>
      <c r="AC41" s="71">
        <f t="shared" si="27"/>
        <v>2413.4391587499999</v>
      </c>
      <c r="AD41" s="71">
        <v>0</v>
      </c>
      <c r="AE41" s="1"/>
      <c r="AF41" s="29">
        <f t="shared" si="18"/>
        <v>6.5680750000000003</v>
      </c>
      <c r="AG41" s="142">
        <v>46217</v>
      </c>
      <c r="AH41" s="115">
        <v>46218</v>
      </c>
      <c r="AI41" s="112">
        <v>21</v>
      </c>
      <c r="AJ41" s="114">
        <f t="shared" si="19"/>
        <v>46238</v>
      </c>
      <c r="AK41" s="112" t="s">
        <v>324</v>
      </c>
      <c r="AL41" s="112">
        <v>10023</v>
      </c>
      <c r="AM41" s="112" t="s">
        <v>218</v>
      </c>
      <c r="AN41" s="112" t="s">
        <v>449</v>
      </c>
      <c r="AO41" s="118" t="s">
        <v>272</v>
      </c>
      <c r="AP41" s="125">
        <v>1023</v>
      </c>
      <c r="AQ41" s="71">
        <v>6.65</v>
      </c>
      <c r="AR41" s="71">
        <f t="shared" si="20"/>
        <v>2443.5425</v>
      </c>
      <c r="AS41" s="111">
        <v>46237</v>
      </c>
      <c r="AT41" s="113">
        <v>62336</v>
      </c>
      <c r="AU41" s="83">
        <v>2443.54</v>
      </c>
      <c r="AV41" s="71">
        <f>AU41-AR41</f>
        <v>-2.5000000000545697E-3</v>
      </c>
      <c r="AW41" s="71"/>
      <c r="AX41" s="71">
        <f>AU41</f>
        <v>2443.54</v>
      </c>
      <c r="AY41" s="72">
        <f t="shared" si="21"/>
        <v>8.1925000000000026E-2</v>
      </c>
      <c r="AZ41" s="71">
        <f t="shared" si="22"/>
        <v>30.103341250000085</v>
      </c>
      <c r="BA41" s="73">
        <f t="shared" si="23"/>
        <v>1.2473213232187516E-2</v>
      </c>
    </row>
    <row r="42" spans="1:53" x14ac:dyDescent="0.3">
      <c r="A42" s="115">
        <v>46216</v>
      </c>
      <c r="B42" s="115">
        <v>46217</v>
      </c>
      <c r="C42" s="112">
        <v>0</v>
      </c>
      <c r="D42" s="115">
        <f t="shared" si="36"/>
        <v>46217</v>
      </c>
      <c r="E42" s="112" t="s">
        <v>271</v>
      </c>
      <c r="F42" s="112">
        <v>140906</v>
      </c>
      <c r="G42" s="112" t="s">
        <v>188</v>
      </c>
      <c r="H42" s="112" t="s">
        <v>189</v>
      </c>
      <c r="I42" s="112" t="s">
        <v>34</v>
      </c>
      <c r="J42" s="113" t="s">
        <v>122</v>
      </c>
      <c r="K42" s="113" t="s">
        <v>124</v>
      </c>
      <c r="L42" s="112" t="s">
        <v>31</v>
      </c>
      <c r="M42" s="112" t="s">
        <v>31</v>
      </c>
      <c r="N42" s="123">
        <v>10</v>
      </c>
      <c r="O42" s="112">
        <v>35</v>
      </c>
      <c r="P42" s="124">
        <v>370.81</v>
      </c>
      <c r="Q42" s="71">
        <v>6.4</v>
      </c>
      <c r="R42" s="71">
        <f t="shared" si="32"/>
        <v>2373.1840000000002</v>
      </c>
      <c r="S42" s="71">
        <v>0.05</v>
      </c>
      <c r="T42" s="71">
        <f t="shared" si="33"/>
        <v>18.540500000000002</v>
      </c>
      <c r="U42" s="112" t="s">
        <v>26</v>
      </c>
      <c r="V42" s="113" t="s">
        <v>26</v>
      </c>
      <c r="W42" s="71">
        <v>0</v>
      </c>
      <c r="X42" s="72">
        <v>0</v>
      </c>
      <c r="Y42" s="72">
        <f t="shared" si="35"/>
        <v>43.783390750000002</v>
      </c>
      <c r="Z42" s="72">
        <v>0.118075</v>
      </c>
      <c r="AA42" s="72" t="s">
        <v>134</v>
      </c>
      <c r="AB42" s="112">
        <v>130382</v>
      </c>
      <c r="AC42" s="71">
        <f t="shared" si="27"/>
        <v>2435.5078907500001</v>
      </c>
      <c r="AD42" s="71">
        <v>0</v>
      </c>
      <c r="AE42" s="1"/>
      <c r="AF42" s="29">
        <f t="shared" si="18"/>
        <v>6.5680750000000003</v>
      </c>
      <c r="AG42" s="142">
        <v>46217</v>
      </c>
      <c r="AH42" s="115">
        <v>46218</v>
      </c>
      <c r="AI42" s="112">
        <v>21</v>
      </c>
      <c r="AJ42" s="114">
        <f t="shared" si="19"/>
        <v>46238</v>
      </c>
      <c r="AK42" s="112" t="s">
        <v>324</v>
      </c>
      <c r="AL42" s="112">
        <v>10024</v>
      </c>
      <c r="AM42" s="112" t="s">
        <v>129</v>
      </c>
      <c r="AN42" s="112" t="s">
        <v>130</v>
      </c>
      <c r="AO42" s="118" t="s">
        <v>273</v>
      </c>
      <c r="AP42" s="125">
        <v>1024</v>
      </c>
      <c r="AQ42" s="71">
        <v>6.9</v>
      </c>
      <c r="AR42" s="71">
        <f t="shared" si="20"/>
        <v>2558.5889999999999</v>
      </c>
      <c r="AS42" s="111">
        <v>46255</v>
      </c>
      <c r="AT42" s="113">
        <v>26400</v>
      </c>
      <c r="AU42" s="83">
        <v>2558.59</v>
      </c>
      <c r="AV42" s="71">
        <f t="shared" si="30"/>
        <v>1.0000000002037268E-3</v>
      </c>
      <c r="AW42" s="11"/>
      <c r="AX42" s="11">
        <f t="shared" si="31"/>
        <v>2558.59</v>
      </c>
      <c r="AY42" s="13">
        <f t="shared" si="21"/>
        <v>0.33192500000000003</v>
      </c>
      <c r="AZ42" s="11">
        <f t="shared" si="22"/>
        <v>123.08110924999983</v>
      </c>
      <c r="BA42" s="17">
        <f t="shared" si="23"/>
        <v>5.0536115985277269E-2</v>
      </c>
    </row>
    <row r="43" spans="1:53" x14ac:dyDescent="0.3">
      <c r="A43" s="115">
        <v>46216</v>
      </c>
      <c r="B43" s="115">
        <v>46217</v>
      </c>
      <c r="C43" s="112">
        <v>0</v>
      </c>
      <c r="D43" s="115">
        <f t="shared" si="36"/>
        <v>46217</v>
      </c>
      <c r="E43" s="112" t="s">
        <v>271</v>
      </c>
      <c r="F43" s="112">
        <v>140906</v>
      </c>
      <c r="G43" s="112" t="s">
        <v>188</v>
      </c>
      <c r="H43" s="112" t="s">
        <v>189</v>
      </c>
      <c r="I43" s="112" t="s">
        <v>34</v>
      </c>
      <c r="J43" s="113" t="s">
        <v>122</v>
      </c>
      <c r="K43" s="113" t="s">
        <v>124</v>
      </c>
      <c r="L43" s="112" t="s">
        <v>31</v>
      </c>
      <c r="M43" s="112" t="s">
        <v>31</v>
      </c>
      <c r="N43" s="123">
        <v>20</v>
      </c>
      <c r="O43" s="112">
        <v>35</v>
      </c>
      <c r="P43" s="124">
        <v>735.39</v>
      </c>
      <c r="Q43" s="71">
        <v>6.4</v>
      </c>
      <c r="R43" s="71">
        <f t="shared" si="32"/>
        <v>4706.4960000000001</v>
      </c>
      <c r="S43" s="71">
        <v>0.05</v>
      </c>
      <c r="T43" s="71">
        <f t="shared" si="33"/>
        <v>36.769500000000001</v>
      </c>
      <c r="U43" s="112" t="s">
        <v>26</v>
      </c>
      <c r="V43" s="113" t="s">
        <v>26</v>
      </c>
      <c r="W43" s="71">
        <v>0</v>
      </c>
      <c r="X43" s="72">
        <v>0</v>
      </c>
      <c r="Y43" s="72">
        <f t="shared" si="35"/>
        <v>86.831174250000004</v>
      </c>
      <c r="Z43" s="72">
        <v>0.118075</v>
      </c>
      <c r="AA43" s="72" t="s">
        <v>134</v>
      </c>
      <c r="AB43" s="112">
        <v>130382</v>
      </c>
      <c r="AC43" s="71">
        <f t="shared" si="27"/>
        <v>4830.0966742500004</v>
      </c>
      <c r="AD43" s="71">
        <v>0</v>
      </c>
      <c r="AE43" s="1"/>
      <c r="AF43" s="29">
        <f t="shared" si="18"/>
        <v>6.5680750000000003</v>
      </c>
      <c r="AG43" s="142">
        <v>46217</v>
      </c>
      <c r="AH43" s="115">
        <v>46218</v>
      </c>
      <c r="AI43" s="112">
        <v>21</v>
      </c>
      <c r="AJ43" s="114">
        <f t="shared" si="19"/>
        <v>46238</v>
      </c>
      <c r="AK43" s="116" t="s">
        <v>324</v>
      </c>
      <c r="AL43" s="116">
        <v>10025</v>
      </c>
      <c r="AM43" s="116" t="s">
        <v>146</v>
      </c>
      <c r="AN43" s="116" t="s">
        <v>149</v>
      </c>
      <c r="AO43" s="152" t="s">
        <v>274</v>
      </c>
      <c r="AP43" s="125">
        <v>1025</v>
      </c>
      <c r="AQ43" s="110">
        <v>6.8</v>
      </c>
      <c r="AR43" s="110">
        <f t="shared" si="20"/>
        <v>5000.652</v>
      </c>
      <c r="AS43" s="144">
        <v>46244</v>
      </c>
      <c r="AT43" s="145" t="s">
        <v>429</v>
      </c>
      <c r="AU43" s="78">
        <v>4927.1099999999997</v>
      </c>
      <c r="AV43" s="71">
        <f>AU43-AR43+AW43</f>
        <v>-2.0000000003648211E-3</v>
      </c>
      <c r="AW43" s="105">
        <v>73.540000000000006</v>
      </c>
      <c r="AX43" s="11">
        <f t="shared" si="31"/>
        <v>4927.1099999999997</v>
      </c>
      <c r="AY43" s="13">
        <f>AQ43-AF43-0.1</f>
        <v>0.13192499999999949</v>
      </c>
      <c r="AZ43" s="11">
        <f>AR43-AC43-AW43</f>
        <v>97.015325749999604</v>
      </c>
      <c r="BA43" s="17">
        <f t="shared" si="23"/>
        <v>2.0085793782805384E-2</v>
      </c>
    </row>
    <row r="44" spans="1:53" x14ac:dyDescent="0.3">
      <c r="A44" s="115">
        <v>46217</v>
      </c>
      <c r="B44" s="115">
        <v>46218</v>
      </c>
      <c r="C44" s="112">
        <v>7</v>
      </c>
      <c r="D44" s="115">
        <f t="shared" si="36"/>
        <v>46225</v>
      </c>
      <c r="E44" s="112" t="s">
        <v>278</v>
      </c>
      <c r="F44" s="112">
        <v>12997</v>
      </c>
      <c r="G44" s="112" t="s">
        <v>95</v>
      </c>
      <c r="H44" s="112" t="s">
        <v>229</v>
      </c>
      <c r="I44" s="112" t="s">
        <v>230</v>
      </c>
      <c r="J44" s="113" t="s">
        <v>180</v>
      </c>
      <c r="K44" s="122" t="s">
        <v>173</v>
      </c>
      <c r="L44" s="112" t="s">
        <v>32</v>
      </c>
      <c r="M44" s="112" t="s">
        <v>32</v>
      </c>
      <c r="N44" s="123">
        <v>5</v>
      </c>
      <c r="O44" s="112">
        <v>50</v>
      </c>
      <c r="P44" s="124">
        <v>250</v>
      </c>
      <c r="Q44" s="71">
        <v>6.75</v>
      </c>
      <c r="R44" s="71">
        <f t="shared" si="32"/>
        <v>1687.5</v>
      </c>
      <c r="S44" s="71">
        <v>0.05</v>
      </c>
      <c r="T44" s="71">
        <f t="shared" si="33"/>
        <v>12.5</v>
      </c>
      <c r="U44" s="112" t="s">
        <v>279</v>
      </c>
      <c r="V44" s="113" t="s">
        <v>26</v>
      </c>
      <c r="W44" s="71">
        <v>0</v>
      </c>
      <c r="X44" s="72">
        <v>0</v>
      </c>
      <c r="Y44" s="126">
        <v>238.92</v>
      </c>
      <c r="Z44" s="72">
        <f>Y44/P44</f>
        <v>0.95567999999999997</v>
      </c>
      <c r="AA44" s="72" t="s">
        <v>89</v>
      </c>
      <c r="AB44" s="120" t="s">
        <v>384</v>
      </c>
      <c r="AC44" s="71">
        <f t="shared" si="27"/>
        <v>1939.02</v>
      </c>
      <c r="AD44" s="71">
        <v>0.1</v>
      </c>
      <c r="AE44" s="1"/>
      <c r="AF44" s="29">
        <f t="shared" si="18"/>
        <v>7.7560799999999999</v>
      </c>
      <c r="AG44" s="143">
        <v>46218</v>
      </c>
      <c r="AH44" s="115">
        <v>46220</v>
      </c>
      <c r="AI44" s="112">
        <v>14</v>
      </c>
      <c r="AJ44" s="114">
        <f t="shared" si="19"/>
        <v>46232</v>
      </c>
      <c r="AK44" s="116" t="s">
        <v>324</v>
      </c>
      <c r="AL44" s="112">
        <v>10026</v>
      </c>
      <c r="AM44" s="112" t="s">
        <v>259</v>
      </c>
      <c r="AN44" s="112" t="s">
        <v>257</v>
      </c>
      <c r="AO44" s="118" t="s">
        <v>280</v>
      </c>
      <c r="AP44" s="125">
        <v>1027</v>
      </c>
      <c r="AQ44" s="71">
        <v>8.15</v>
      </c>
      <c r="AR44" s="71">
        <f t="shared" si="20"/>
        <v>2037.5</v>
      </c>
      <c r="AS44" s="111">
        <v>46237</v>
      </c>
      <c r="AT44" s="113">
        <v>1054</v>
      </c>
      <c r="AU44" s="78">
        <v>2037.5</v>
      </c>
      <c r="AV44" s="71">
        <f t="shared" si="30"/>
        <v>0</v>
      </c>
      <c r="AW44" s="71"/>
      <c r="AX44" s="71">
        <f t="shared" si="31"/>
        <v>2037.5</v>
      </c>
      <c r="AY44" s="72">
        <f t="shared" si="21"/>
        <v>0.39392000000000049</v>
      </c>
      <c r="AZ44" s="71">
        <f t="shared" si="22"/>
        <v>98.480000000000018</v>
      </c>
      <c r="BA44" s="73">
        <f t="shared" si="23"/>
        <v>5.0788542665882827E-2</v>
      </c>
    </row>
    <row r="45" spans="1:53" x14ac:dyDescent="0.3">
      <c r="A45" s="115">
        <v>46217</v>
      </c>
      <c r="B45" s="115">
        <v>46218</v>
      </c>
      <c r="C45" s="112">
        <v>7</v>
      </c>
      <c r="D45" s="115">
        <f t="shared" si="36"/>
        <v>46225</v>
      </c>
      <c r="E45" s="112" t="s">
        <v>278</v>
      </c>
      <c r="F45" s="112">
        <v>12997</v>
      </c>
      <c r="G45" s="112" t="s">
        <v>95</v>
      </c>
      <c r="H45" s="112" t="s">
        <v>229</v>
      </c>
      <c r="I45" s="112" t="s">
        <v>230</v>
      </c>
      <c r="J45" s="113" t="s">
        <v>180</v>
      </c>
      <c r="K45" s="122" t="s">
        <v>173</v>
      </c>
      <c r="L45" s="112" t="s">
        <v>32</v>
      </c>
      <c r="M45" s="112" t="s">
        <v>32</v>
      </c>
      <c r="N45" s="123">
        <v>35</v>
      </c>
      <c r="O45" s="112">
        <v>50</v>
      </c>
      <c r="P45" s="124">
        <f>O45*N45</f>
        <v>1750</v>
      </c>
      <c r="Q45" s="71">
        <v>6.75</v>
      </c>
      <c r="R45" s="71">
        <f t="shared" si="32"/>
        <v>11812.5</v>
      </c>
      <c r="S45" s="71">
        <v>0.05</v>
      </c>
      <c r="T45" s="71">
        <f t="shared" si="33"/>
        <v>87.5</v>
      </c>
      <c r="U45" s="112" t="s">
        <v>279</v>
      </c>
      <c r="V45" s="113" t="s">
        <v>26</v>
      </c>
      <c r="W45" s="71">
        <v>0</v>
      </c>
      <c r="X45" s="72">
        <v>0</v>
      </c>
      <c r="Y45" s="126">
        <v>2049.75</v>
      </c>
      <c r="Z45" s="72">
        <f>Y45/P45</f>
        <v>1.1712857142857143</v>
      </c>
      <c r="AA45" s="72" t="s">
        <v>286</v>
      </c>
      <c r="AB45" s="120" t="s">
        <v>387</v>
      </c>
      <c r="AC45" s="71">
        <f t="shared" si="27"/>
        <v>13949.85</v>
      </c>
      <c r="AD45" s="71">
        <v>0.1</v>
      </c>
      <c r="AE45" s="1"/>
      <c r="AF45" s="29">
        <f t="shared" si="18"/>
        <v>7.9713428571428571</v>
      </c>
      <c r="AG45" s="142">
        <v>46222</v>
      </c>
      <c r="AH45" s="115">
        <v>46224</v>
      </c>
      <c r="AI45" s="112">
        <v>21</v>
      </c>
      <c r="AJ45" s="114">
        <f t="shared" si="19"/>
        <v>46243</v>
      </c>
      <c r="AK45" s="116" t="s">
        <v>324</v>
      </c>
      <c r="AL45" s="112">
        <v>10027</v>
      </c>
      <c r="AM45" s="112" t="s">
        <v>125</v>
      </c>
      <c r="AN45" s="112" t="s">
        <v>126</v>
      </c>
      <c r="AO45" s="118" t="s">
        <v>388</v>
      </c>
      <c r="AP45" s="125">
        <v>1029</v>
      </c>
      <c r="AQ45" s="71">
        <v>8.5</v>
      </c>
      <c r="AR45" s="110">
        <f t="shared" si="20"/>
        <v>14875</v>
      </c>
      <c r="AS45" s="111">
        <v>46244</v>
      </c>
      <c r="AT45" s="113" t="s">
        <v>429</v>
      </c>
      <c r="AU45" s="78">
        <v>14875</v>
      </c>
      <c r="AV45" s="71">
        <f t="shared" si="30"/>
        <v>0</v>
      </c>
      <c r="AW45" s="11"/>
      <c r="AX45" s="11">
        <f t="shared" ref="AX45:AX48" si="37">AU45</f>
        <v>14875</v>
      </c>
      <c r="AY45" s="13">
        <f t="shared" ref="AY45:AY49" si="38">AQ45-AF45</f>
        <v>0.52865714285714294</v>
      </c>
      <c r="AZ45" s="11">
        <f t="shared" si="22"/>
        <v>925.14999999999964</v>
      </c>
      <c r="BA45" s="17">
        <f t="shared" ref="BA45:BA49" si="39">AY45/AF45</f>
        <v>6.6319709530926862E-2</v>
      </c>
    </row>
    <row r="46" spans="1:53" x14ac:dyDescent="0.3">
      <c r="A46" s="115">
        <v>46217</v>
      </c>
      <c r="B46" s="115">
        <v>46218</v>
      </c>
      <c r="C46" s="112">
        <v>7</v>
      </c>
      <c r="D46" s="115">
        <f t="shared" si="36"/>
        <v>46225</v>
      </c>
      <c r="E46" s="112" t="s">
        <v>278</v>
      </c>
      <c r="F46" s="112">
        <v>13015</v>
      </c>
      <c r="G46" s="112" t="s">
        <v>95</v>
      </c>
      <c r="H46" s="112" t="s">
        <v>229</v>
      </c>
      <c r="I46" s="112" t="s">
        <v>230</v>
      </c>
      <c r="J46" s="113" t="s">
        <v>180</v>
      </c>
      <c r="K46" s="122" t="s">
        <v>173</v>
      </c>
      <c r="L46" s="112" t="s">
        <v>32</v>
      </c>
      <c r="M46" s="112" t="s">
        <v>32</v>
      </c>
      <c r="N46" s="123">
        <v>20</v>
      </c>
      <c r="O46" s="112">
        <v>50</v>
      </c>
      <c r="P46" s="124">
        <f>O46*N46</f>
        <v>1000</v>
      </c>
      <c r="Q46" s="71">
        <v>6.75</v>
      </c>
      <c r="R46" s="71">
        <f t="shared" si="32"/>
        <v>6750</v>
      </c>
      <c r="S46" s="71">
        <v>0.05</v>
      </c>
      <c r="T46" s="71">
        <f t="shared" si="33"/>
        <v>50</v>
      </c>
      <c r="U46" s="112" t="s">
        <v>290</v>
      </c>
      <c r="V46" s="113" t="s">
        <v>26</v>
      </c>
      <c r="W46" s="71">
        <v>0</v>
      </c>
      <c r="X46" s="72">
        <v>0</v>
      </c>
      <c r="Y46" s="126">
        <v>852</v>
      </c>
      <c r="Z46" s="72">
        <f>Y46/P46</f>
        <v>0.85199999999999998</v>
      </c>
      <c r="AA46" s="72" t="s">
        <v>89</v>
      </c>
      <c r="AB46" s="120" t="s">
        <v>383</v>
      </c>
      <c r="AC46" s="71">
        <f t="shared" si="27"/>
        <v>7652.1</v>
      </c>
      <c r="AD46" s="71">
        <v>0.1</v>
      </c>
      <c r="AE46" s="1"/>
      <c r="AF46" s="29">
        <f t="shared" si="18"/>
        <v>7.6521000000000008</v>
      </c>
      <c r="AG46" s="143">
        <v>46218</v>
      </c>
      <c r="AH46" s="115">
        <v>46220</v>
      </c>
      <c r="AI46" s="112">
        <v>21</v>
      </c>
      <c r="AJ46" s="114">
        <f t="shared" si="19"/>
        <v>46239</v>
      </c>
      <c r="AK46" s="116" t="s">
        <v>324</v>
      </c>
      <c r="AL46" s="112">
        <v>10029</v>
      </c>
      <c r="AM46" s="112" t="s">
        <v>127</v>
      </c>
      <c r="AN46" s="112" t="s">
        <v>128</v>
      </c>
      <c r="AO46" s="118">
        <v>61886</v>
      </c>
      <c r="AP46" s="125">
        <v>1028</v>
      </c>
      <c r="AQ46" s="71">
        <v>8.1</v>
      </c>
      <c r="AR46" s="71">
        <f t="shared" si="20"/>
        <v>8100</v>
      </c>
      <c r="AS46" s="111">
        <v>46255</v>
      </c>
      <c r="AT46" s="113">
        <v>172917</v>
      </c>
      <c r="AU46" s="78">
        <v>8100</v>
      </c>
      <c r="AV46" s="71">
        <f t="shared" si="30"/>
        <v>0</v>
      </c>
      <c r="AW46" s="11"/>
      <c r="AX46" s="11">
        <f t="shared" si="37"/>
        <v>8100</v>
      </c>
      <c r="AY46" s="13">
        <f t="shared" si="38"/>
        <v>0.44789999999999885</v>
      </c>
      <c r="AZ46" s="11">
        <f t="shared" si="22"/>
        <v>447.89999999999964</v>
      </c>
      <c r="BA46" s="17">
        <f t="shared" si="39"/>
        <v>5.853295173873823E-2</v>
      </c>
    </row>
    <row r="47" spans="1:53" x14ac:dyDescent="0.3">
      <c r="A47" s="115">
        <v>46217</v>
      </c>
      <c r="B47" s="115">
        <v>46219</v>
      </c>
      <c r="C47" s="112">
        <v>14</v>
      </c>
      <c r="D47" s="134">
        <f t="shared" si="36"/>
        <v>46233</v>
      </c>
      <c r="E47" s="135" t="s">
        <v>287</v>
      </c>
      <c r="F47" s="135" t="s">
        <v>341</v>
      </c>
      <c r="G47" s="135" t="s">
        <v>57</v>
      </c>
      <c r="H47" s="135" t="s">
        <v>59</v>
      </c>
      <c r="I47" s="135" t="s">
        <v>104</v>
      </c>
      <c r="J47" s="136" t="s">
        <v>109</v>
      </c>
      <c r="K47" s="136" t="s">
        <v>112</v>
      </c>
      <c r="L47" s="135" t="s">
        <v>32</v>
      </c>
      <c r="M47" s="135" t="s">
        <v>32</v>
      </c>
      <c r="N47" s="137">
        <v>9</v>
      </c>
      <c r="O47" s="135">
        <v>50</v>
      </c>
      <c r="P47" s="138">
        <v>451.8</v>
      </c>
      <c r="Q47" s="139">
        <v>11</v>
      </c>
      <c r="R47" s="139">
        <f t="shared" si="32"/>
        <v>4969.8</v>
      </c>
      <c r="S47" s="71">
        <v>0.05</v>
      </c>
      <c r="T47" s="71">
        <f t="shared" si="33"/>
        <v>22.590000000000003</v>
      </c>
      <c r="U47" s="112" t="s">
        <v>200</v>
      </c>
      <c r="V47" s="113">
        <v>104709.01</v>
      </c>
      <c r="W47" s="71">
        <f>X47*P47</f>
        <v>284.99544000000003</v>
      </c>
      <c r="X47" s="72">
        <v>0.63080000000000003</v>
      </c>
      <c r="Y47" s="126">
        <f t="shared" ref="Y47:Y59" si="40">Z47*P47</f>
        <v>27.112518000000001</v>
      </c>
      <c r="Z47" s="72">
        <v>6.0010000000000001E-2</v>
      </c>
      <c r="AA47" s="72" t="s">
        <v>90</v>
      </c>
      <c r="AB47" s="120" t="s">
        <v>416</v>
      </c>
      <c r="AC47" s="71">
        <f t="shared" si="27"/>
        <v>5304.4979579999999</v>
      </c>
      <c r="AD47" s="71">
        <v>0</v>
      </c>
      <c r="AE47" s="1"/>
      <c r="AF47" s="29">
        <f t="shared" si="18"/>
        <v>11.74081</v>
      </c>
      <c r="AG47" s="142">
        <v>46220</v>
      </c>
      <c r="AH47" s="115">
        <v>46224</v>
      </c>
      <c r="AI47" s="112">
        <v>21</v>
      </c>
      <c r="AJ47" s="114">
        <f t="shared" si="19"/>
        <v>46241</v>
      </c>
      <c r="AK47" s="116" t="s">
        <v>324</v>
      </c>
      <c r="AL47" s="112">
        <v>10028</v>
      </c>
      <c r="AM47" s="112" t="s">
        <v>125</v>
      </c>
      <c r="AN47" s="112" t="s">
        <v>126</v>
      </c>
      <c r="AO47" s="118" t="s">
        <v>309</v>
      </c>
      <c r="AP47" s="125">
        <v>1030</v>
      </c>
      <c r="AQ47" s="71">
        <v>12.75</v>
      </c>
      <c r="AR47" s="110">
        <f>AQ47*P47</f>
        <v>5760.45</v>
      </c>
      <c r="AS47" s="111">
        <v>46244</v>
      </c>
      <c r="AT47" s="113" t="s">
        <v>429</v>
      </c>
      <c r="AU47" s="78">
        <v>5760.45</v>
      </c>
      <c r="AV47" s="71">
        <f t="shared" si="30"/>
        <v>0</v>
      </c>
      <c r="AW47" s="11"/>
      <c r="AX47" s="11">
        <f t="shared" si="37"/>
        <v>5760.45</v>
      </c>
      <c r="AY47" s="13">
        <f t="shared" si="38"/>
        <v>1.0091900000000003</v>
      </c>
      <c r="AZ47" s="11">
        <f t="shared" si="22"/>
        <v>455.95204199999989</v>
      </c>
      <c r="BA47" s="17">
        <f t="shared" si="39"/>
        <v>8.5955738999268394E-2</v>
      </c>
    </row>
    <row r="48" spans="1:53" x14ac:dyDescent="0.3">
      <c r="A48" s="115">
        <v>46219</v>
      </c>
      <c r="B48" s="115">
        <v>46219</v>
      </c>
      <c r="C48" s="112">
        <v>0</v>
      </c>
      <c r="D48" s="115">
        <f>C48+B48</f>
        <v>46219</v>
      </c>
      <c r="E48" s="112" t="s">
        <v>307</v>
      </c>
      <c r="F48" s="120">
        <v>5079019</v>
      </c>
      <c r="G48" s="112" t="s">
        <v>205</v>
      </c>
      <c r="H48" s="112" t="s">
        <v>206</v>
      </c>
      <c r="I48" s="112" t="s">
        <v>207</v>
      </c>
      <c r="J48" s="113" t="s">
        <v>240</v>
      </c>
      <c r="K48" s="113" t="s">
        <v>242</v>
      </c>
      <c r="L48" s="112" t="s">
        <v>32</v>
      </c>
      <c r="M48" s="112" t="s">
        <v>32</v>
      </c>
      <c r="N48" s="123">
        <v>6</v>
      </c>
      <c r="O48" s="112">
        <v>80</v>
      </c>
      <c r="P48" s="124">
        <v>502</v>
      </c>
      <c r="Q48" s="71">
        <v>9.85</v>
      </c>
      <c r="R48" s="71">
        <f t="shared" si="32"/>
        <v>4944.7</v>
      </c>
      <c r="S48" s="71">
        <v>0.05</v>
      </c>
      <c r="T48" s="71">
        <f t="shared" si="33"/>
        <v>25.1</v>
      </c>
      <c r="U48" s="112" t="s">
        <v>200</v>
      </c>
      <c r="V48" s="113">
        <v>104709.01</v>
      </c>
      <c r="W48" s="71">
        <f>X48*P48</f>
        <v>316.62143999999995</v>
      </c>
      <c r="X48" s="72">
        <v>0.63071999999999995</v>
      </c>
      <c r="Y48" s="126">
        <f t="shared" si="40"/>
        <v>30.125019999999999</v>
      </c>
      <c r="Z48" s="72">
        <v>6.0010000000000001E-2</v>
      </c>
      <c r="AA48" s="72" t="s">
        <v>90</v>
      </c>
      <c r="AB48" s="120" t="s">
        <v>416</v>
      </c>
      <c r="AC48" s="71">
        <f t="shared" si="27"/>
        <v>5346.5464600000005</v>
      </c>
      <c r="AD48" s="71">
        <v>30</v>
      </c>
      <c r="AE48" s="1"/>
      <c r="AF48" s="29">
        <f t="shared" si="18"/>
        <v>10.6504909561753</v>
      </c>
      <c r="AG48" s="142">
        <v>46220</v>
      </c>
      <c r="AH48" s="115">
        <v>46223</v>
      </c>
      <c r="AI48" s="112">
        <v>21</v>
      </c>
      <c r="AJ48" s="114">
        <f t="shared" ref="AJ48:AJ60" si="41">AI48+AG48</f>
        <v>46241</v>
      </c>
      <c r="AK48" s="116" t="s">
        <v>324</v>
      </c>
      <c r="AL48" s="112">
        <v>10028</v>
      </c>
      <c r="AM48" s="112" t="s">
        <v>125</v>
      </c>
      <c r="AN48" s="112" t="s">
        <v>126</v>
      </c>
      <c r="AO48" s="118" t="s">
        <v>308</v>
      </c>
      <c r="AP48" s="125">
        <v>1030</v>
      </c>
      <c r="AQ48" s="71">
        <v>12.25</v>
      </c>
      <c r="AR48" s="110">
        <f t="shared" si="20"/>
        <v>6149.5</v>
      </c>
      <c r="AS48" s="111">
        <v>46244</v>
      </c>
      <c r="AT48" s="113" t="s">
        <v>429</v>
      </c>
      <c r="AU48" s="78">
        <v>6149.5</v>
      </c>
      <c r="AV48" s="71">
        <f>AU48-AR48</f>
        <v>0</v>
      </c>
      <c r="AW48" s="11"/>
      <c r="AX48" s="11">
        <f t="shared" si="37"/>
        <v>6149.5</v>
      </c>
      <c r="AY48" s="13">
        <f t="shared" si="38"/>
        <v>1.5995090438246997</v>
      </c>
      <c r="AZ48" s="11">
        <f t="shared" si="22"/>
        <v>802.95353999999952</v>
      </c>
      <c r="BA48" s="17">
        <f t="shared" si="39"/>
        <v>0.15018171935982749</v>
      </c>
    </row>
    <row r="49" spans="1:53" x14ac:dyDescent="0.3">
      <c r="A49" s="115">
        <v>46219</v>
      </c>
      <c r="B49" s="115">
        <v>46226</v>
      </c>
      <c r="C49" s="112">
        <v>0</v>
      </c>
      <c r="D49" s="130">
        <f t="shared" si="36"/>
        <v>46226</v>
      </c>
      <c r="E49" s="112" t="s">
        <v>310</v>
      </c>
      <c r="F49" s="120">
        <v>153126980</v>
      </c>
      <c r="G49" s="112" t="s">
        <v>170</v>
      </c>
      <c r="H49" s="112" t="s">
        <v>292</v>
      </c>
      <c r="I49" s="112" t="s">
        <v>190</v>
      </c>
      <c r="J49" s="113" t="s">
        <v>121</v>
      </c>
      <c r="K49" s="113" t="s">
        <v>123</v>
      </c>
      <c r="L49" s="112" t="s">
        <v>31</v>
      </c>
      <c r="M49" s="112" t="s">
        <v>31</v>
      </c>
      <c r="N49" s="123">
        <v>40</v>
      </c>
      <c r="O49" s="112">
        <v>35</v>
      </c>
      <c r="P49" s="124">
        <v>1321.38</v>
      </c>
      <c r="Q49" s="71">
        <v>6.15</v>
      </c>
      <c r="R49" s="71">
        <f>Q49*P49</f>
        <v>8126.487000000001</v>
      </c>
      <c r="S49" s="71">
        <v>0.05</v>
      </c>
      <c r="T49" s="71">
        <f t="shared" si="33"/>
        <v>66.069000000000003</v>
      </c>
      <c r="U49" s="112" t="s">
        <v>26</v>
      </c>
      <c r="V49" s="113" t="s">
        <v>26</v>
      </c>
      <c r="W49" s="71">
        <v>0</v>
      </c>
      <c r="X49" s="72">
        <v>0</v>
      </c>
      <c r="Y49" s="72">
        <f t="shared" si="40"/>
        <v>84.792954600000016</v>
      </c>
      <c r="Z49" s="72">
        <v>6.4170000000000005E-2</v>
      </c>
      <c r="AA49" s="72" t="s">
        <v>134</v>
      </c>
      <c r="AB49" s="112">
        <v>130559</v>
      </c>
      <c r="AC49" s="71">
        <f t="shared" si="27"/>
        <v>8277.3489546000001</v>
      </c>
      <c r="AD49" s="71">
        <v>0</v>
      </c>
      <c r="AE49" s="1"/>
      <c r="AF49" s="29">
        <f t="shared" si="18"/>
        <v>6.2641699999999991</v>
      </c>
      <c r="AG49" s="142">
        <v>46226</v>
      </c>
      <c r="AH49" s="115">
        <v>46227</v>
      </c>
      <c r="AI49" s="112">
        <v>21</v>
      </c>
      <c r="AJ49" s="114">
        <f t="shared" ref="AJ49" si="42">AI49+AG49</f>
        <v>46247</v>
      </c>
      <c r="AK49" s="112" t="s">
        <v>324</v>
      </c>
      <c r="AL49" s="112">
        <v>10044</v>
      </c>
      <c r="AM49" s="112" t="s">
        <v>40</v>
      </c>
      <c r="AN49" s="112" t="s">
        <v>33</v>
      </c>
      <c r="AO49" s="118">
        <v>51645</v>
      </c>
      <c r="AP49" s="112">
        <v>1040</v>
      </c>
      <c r="AQ49" s="71">
        <v>6.45</v>
      </c>
      <c r="AR49" s="71">
        <f t="shared" si="20"/>
        <v>8522.9010000000017</v>
      </c>
      <c r="AS49" s="144">
        <v>46244</v>
      </c>
      <c r="AT49" s="145">
        <v>290518</v>
      </c>
      <c r="AU49" s="78">
        <v>8522.9</v>
      </c>
      <c r="AV49" s="110">
        <f t="shared" si="30"/>
        <v>-1.0000000020227162E-3</v>
      </c>
      <c r="AW49" s="11"/>
      <c r="AX49" s="11">
        <f t="shared" ref="AX49:AX56" si="43">AU49</f>
        <v>8522.9</v>
      </c>
      <c r="AY49" s="13">
        <f t="shared" si="38"/>
        <v>0.18583000000000105</v>
      </c>
      <c r="AZ49" s="11">
        <f t="shared" si="22"/>
        <v>245.55204540000159</v>
      </c>
      <c r="BA49" s="17">
        <f t="shared" si="39"/>
        <v>2.9665542282537205E-2</v>
      </c>
    </row>
    <row r="50" spans="1:53" x14ac:dyDescent="0.3">
      <c r="A50" s="115">
        <v>46219</v>
      </c>
      <c r="B50" s="115">
        <v>46226</v>
      </c>
      <c r="C50" s="112">
        <v>0</v>
      </c>
      <c r="D50" s="130">
        <f t="shared" si="36"/>
        <v>46226</v>
      </c>
      <c r="E50" s="112" t="s">
        <v>310</v>
      </c>
      <c r="F50" s="116">
        <v>153126980</v>
      </c>
      <c r="G50" s="112" t="s">
        <v>170</v>
      </c>
      <c r="H50" s="112" t="s">
        <v>292</v>
      </c>
      <c r="I50" s="112" t="s">
        <v>190</v>
      </c>
      <c r="J50" s="113" t="s">
        <v>122</v>
      </c>
      <c r="K50" s="113" t="s">
        <v>124</v>
      </c>
      <c r="L50" s="112" t="s">
        <v>31</v>
      </c>
      <c r="M50" s="112" t="s">
        <v>31</v>
      </c>
      <c r="N50" s="123">
        <v>20</v>
      </c>
      <c r="O50" s="112">
        <v>35</v>
      </c>
      <c r="P50" s="124">
        <v>688.58</v>
      </c>
      <c r="Q50" s="71">
        <v>6.2</v>
      </c>
      <c r="R50" s="71">
        <f t="shared" si="32"/>
        <v>4269.1960000000008</v>
      </c>
      <c r="S50" s="71">
        <v>0.05</v>
      </c>
      <c r="T50" s="71">
        <f t="shared" si="33"/>
        <v>34.429000000000002</v>
      </c>
      <c r="U50" s="112" t="s">
        <v>26</v>
      </c>
      <c r="V50" s="113" t="s">
        <v>26</v>
      </c>
      <c r="W50" s="71">
        <v>0</v>
      </c>
      <c r="X50" s="72">
        <v>0</v>
      </c>
      <c r="Y50" s="72">
        <f t="shared" si="40"/>
        <v>44.186178600000005</v>
      </c>
      <c r="Z50" s="72">
        <v>6.4170000000000005E-2</v>
      </c>
      <c r="AA50" s="72" t="s">
        <v>134</v>
      </c>
      <c r="AB50" s="112">
        <v>130559</v>
      </c>
      <c r="AC50" s="71">
        <f t="shared" si="27"/>
        <v>4347.8111786000009</v>
      </c>
      <c r="AD50" s="71">
        <v>0</v>
      </c>
      <c r="AE50" s="1"/>
      <c r="AF50" s="29">
        <f t="shared" si="18"/>
        <v>6.3141700000000007</v>
      </c>
      <c r="AG50" s="142">
        <v>46226</v>
      </c>
      <c r="AH50" s="115">
        <v>46227</v>
      </c>
      <c r="AI50" s="112">
        <v>21</v>
      </c>
      <c r="AJ50" s="114">
        <f t="shared" si="41"/>
        <v>46247</v>
      </c>
      <c r="AK50" s="112" t="s">
        <v>324</v>
      </c>
      <c r="AL50" s="112">
        <v>10044</v>
      </c>
      <c r="AM50" s="112" t="s">
        <v>40</v>
      </c>
      <c r="AN50" s="112" t="s">
        <v>33</v>
      </c>
      <c r="AO50" s="118">
        <v>51645</v>
      </c>
      <c r="AP50" s="112">
        <v>1040</v>
      </c>
      <c r="AQ50" s="71">
        <v>6.55</v>
      </c>
      <c r="AR50" s="71">
        <f t="shared" si="20"/>
        <v>4510.1990000000005</v>
      </c>
      <c r="AS50" s="144">
        <v>46244</v>
      </c>
      <c r="AT50" s="145">
        <v>290518</v>
      </c>
      <c r="AU50" s="78">
        <v>4510.2</v>
      </c>
      <c r="AV50" s="110">
        <f t="shared" ref="AV50:AV78" si="44">AU50-AR50</f>
        <v>9.9999999929423211E-4</v>
      </c>
      <c r="AW50" s="11"/>
      <c r="AX50" s="11">
        <f t="shared" si="43"/>
        <v>4510.2</v>
      </c>
      <c r="AY50" s="13">
        <f t="shared" ref="AY50:AY57" si="45">AQ50-AF50</f>
        <v>0.2358299999999991</v>
      </c>
      <c r="AZ50" s="11">
        <f t="shared" si="22"/>
        <v>162.38782139999967</v>
      </c>
      <c r="BA50" s="17">
        <f t="shared" ref="BA50:BA57" si="46">AY50/AF50</f>
        <v>3.7349326989928856E-2</v>
      </c>
    </row>
    <row r="51" spans="1:53" x14ac:dyDescent="0.3">
      <c r="A51" s="115">
        <v>46219</v>
      </c>
      <c r="B51" s="115">
        <v>46226</v>
      </c>
      <c r="C51" s="112">
        <v>0</v>
      </c>
      <c r="D51" s="130">
        <f t="shared" ref="D51" si="47">C51+B51</f>
        <v>46226</v>
      </c>
      <c r="E51" s="112" t="s">
        <v>310</v>
      </c>
      <c r="F51" s="116">
        <v>153126980</v>
      </c>
      <c r="G51" s="112" t="s">
        <v>170</v>
      </c>
      <c r="H51" s="112" t="s">
        <v>292</v>
      </c>
      <c r="I51" s="112" t="s">
        <v>190</v>
      </c>
      <c r="J51" s="113" t="s">
        <v>122</v>
      </c>
      <c r="K51" s="113" t="s">
        <v>124</v>
      </c>
      <c r="L51" s="112" t="s">
        <v>31</v>
      </c>
      <c r="M51" s="112" t="s">
        <v>31</v>
      </c>
      <c r="N51" s="123">
        <v>10</v>
      </c>
      <c r="O51" s="112">
        <v>35</v>
      </c>
      <c r="P51" s="124">
        <v>339.86</v>
      </c>
      <c r="Q51" s="71">
        <v>6.2</v>
      </c>
      <c r="R51" s="71">
        <f t="shared" ref="R51" si="48">Q51*P51</f>
        <v>2107.1320000000001</v>
      </c>
      <c r="S51" s="71">
        <v>0.05</v>
      </c>
      <c r="T51" s="71">
        <f t="shared" si="33"/>
        <v>16.993000000000002</v>
      </c>
      <c r="U51" s="112" t="s">
        <v>26</v>
      </c>
      <c r="V51" s="113" t="s">
        <v>26</v>
      </c>
      <c r="W51" s="71">
        <v>0</v>
      </c>
      <c r="X51" s="72">
        <v>0</v>
      </c>
      <c r="Y51" s="72">
        <f t="shared" si="40"/>
        <v>21.808816200000003</v>
      </c>
      <c r="Z51" s="72">
        <v>6.4170000000000005E-2</v>
      </c>
      <c r="AA51" s="72" t="s">
        <v>134</v>
      </c>
      <c r="AB51" s="112">
        <v>130559</v>
      </c>
      <c r="AC51" s="71">
        <f t="shared" si="27"/>
        <v>2145.9338161999999</v>
      </c>
      <c r="AD51" s="71">
        <v>0</v>
      </c>
      <c r="AE51" s="1"/>
      <c r="AF51" s="29">
        <f t="shared" si="18"/>
        <v>6.3141699999999998</v>
      </c>
      <c r="AG51" s="142">
        <v>46226</v>
      </c>
      <c r="AH51" s="115">
        <v>46227</v>
      </c>
      <c r="AI51" s="112">
        <v>21</v>
      </c>
      <c r="AJ51" s="114">
        <f t="shared" si="41"/>
        <v>46247</v>
      </c>
      <c r="AK51" s="112" t="s">
        <v>324</v>
      </c>
      <c r="AL51" s="112">
        <v>10042</v>
      </c>
      <c r="AM51" s="112" t="s">
        <v>218</v>
      </c>
      <c r="AN51" s="112" t="s">
        <v>449</v>
      </c>
      <c r="AO51" s="118" t="s">
        <v>425</v>
      </c>
      <c r="AP51" s="112">
        <v>1041</v>
      </c>
      <c r="AQ51" s="71">
        <v>6.65</v>
      </c>
      <c r="AR51" s="71">
        <f t="shared" si="20"/>
        <v>2260.0690000000004</v>
      </c>
      <c r="AS51" s="111">
        <v>46244</v>
      </c>
      <c r="AT51" s="113">
        <v>62421</v>
      </c>
      <c r="AU51" s="78">
        <v>2260.0700000000002</v>
      </c>
      <c r="AV51" s="71">
        <f t="shared" si="44"/>
        <v>9.9999999974897946E-4</v>
      </c>
      <c r="AW51" s="11"/>
      <c r="AX51" s="11">
        <f t="shared" si="43"/>
        <v>2260.0700000000002</v>
      </c>
      <c r="AY51" s="13">
        <f t="shared" si="45"/>
        <v>0.33583000000000052</v>
      </c>
      <c r="AZ51" s="11">
        <f t="shared" si="22"/>
        <v>114.1351838000005</v>
      </c>
      <c r="BA51" s="17">
        <f t="shared" si="46"/>
        <v>5.3186721295118838E-2</v>
      </c>
    </row>
    <row r="52" spans="1:53" x14ac:dyDescent="0.3">
      <c r="A52" s="115">
        <v>46219</v>
      </c>
      <c r="B52" s="115">
        <v>46226</v>
      </c>
      <c r="C52" s="112">
        <v>0</v>
      </c>
      <c r="D52" s="130">
        <f t="shared" ref="D52:D80" si="49">C52+B52</f>
        <v>46226</v>
      </c>
      <c r="E52" s="112" t="s">
        <v>310</v>
      </c>
      <c r="F52" s="116">
        <v>153126980</v>
      </c>
      <c r="G52" s="112" t="s">
        <v>170</v>
      </c>
      <c r="H52" s="112" t="s">
        <v>292</v>
      </c>
      <c r="I52" s="112" t="s">
        <v>190</v>
      </c>
      <c r="J52" s="113" t="s">
        <v>122</v>
      </c>
      <c r="K52" s="113" t="s">
        <v>124</v>
      </c>
      <c r="L52" s="112" t="s">
        <v>31</v>
      </c>
      <c r="M52" s="112" t="s">
        <v>31</v>
      </c>
      <c r="N52" s="123">
        <v>30</v>
      </c>
      <c r="O52" s="112">
        <v>35</v>
      </c>
      <c r="P52" s="124">
        <v>1014.52</v>
      </c>
      <c r="Q52" s="71">
        <v>6.2</v>
      </c>
      <c r="R52" s="71">
        <f t="shared" ref="R52:R66" si="50">Q52*P52</f>
        <v>6290.0240000000003</v>
      </c>
      <c r="S52" s="71">
        <v>0.05</v>
      </c>
      <c r="T52" s="71">
        <f t="shared" ref="T52:T66" si="51">S52*P52</f>
        <v>50.725999999999999</v>
      </c>
      <c r="U52" s="112" t="s">
        <v>26</v>
      </c>
      <c r="V52" s="113" t="s">
        <v>26</v>
      </c>
      <c r="W52" s="71">
        <v>0</v>
      </c>
      <c r="X52" s="72">
        <v>0</v>
      </c>
      <c r="Y52" s="72">
        <f t="shared" si="40"/>
        <v>65.101748400000005</v>
      </c>
      <c r="Z52" s="72">
        <v>6.4170000000000005E-2</v>
      </c>
      <c r="AA52" s="72" t="s">
        <v>134</v>
      </c>
      <c r="AB52" s="112">
        <v>130559</v>
      </c>
      <c r="AC52" s="71">
        <f t="shared" si="27"/>
        <v>6405.8517484000004</v>
      </c>
      <c r="AD52" s="71">
        <v>0</v>
      </c>
      <c r="AE52" s="1"/>
      <c r="AF52" s="29">
        <f t="shared" si="18"/>
        <v>6.3141700000000007</v>
      </c>
      <c r="AG52" s="114">
        <v>46226</v>
      </c>
      <c r="AH52" s="115">
        <v>46227</v>
      </c>
      <c r="AI52" s="112">
        <v>21</v>
      </c>
      <c r="AJ52" s="114">
        <f t="shared" si="41"/>
        <v>46247</v>
      </c>
      <c r="AK52" s="116" t="s">
        <v>324</v>
      </c>
      <c r="AL52" s="112">
        <v>10045</v>
      </c>
      <c r="AM52" s="112" t="s">
        <v>442</v>
      </c>
      <c r="AN52" s="112" t="s">
        <v>443</v>
      </c>
      <c r="AO52" s="118" t="s">
        <v>444</v>
      </c>
      <c r="AP52" s="112">
        <v>1042</v>
      </c>
      <c r="AQ52" s="71">
        <v>6.6</v>
      </c>
      <c r="AR52" s="71">
        <f t="shared" si="20"/>
        <v>6695.8319999999994</v>
      </c>
      <c r="AS52" s="111">
        <v>46253</v>
      </c>
      <c r="AT52" s="113" t="s">
        <v>429</v>
      </c>
      <c r="AU52" s="83">
        <v>6695.83</v>
      </c>
      <c r="AV52" s="71">
        <f t="shared" si="44"/>
        <v>-1.9999999994979589E-3</v>
      </c>
      <c r="AW52" s="11"/>
      <c r="AX52" s="11">
        <f t="shared" si="43"/>
        <v>6695.83</v>
      </c>
      <c r="AY52" s="13">
        <f t="shared" si="45"/>
        <v>0.28582999999999892</v>
      </c>
      <c r="AZ52" s="11">
        <f t="shared" si="22"/>
        <v>289.98025159999906</v>
      </c>
      <c r="BA52" s="17">
        <f t="shared" si="46"/>
        <v>4.5268024142523705E-2</v>
      </c>
    </row>
    <row r="53" spans="1:53" x14ac:dyDescent="0.3">
      <c r="A53" s="115">
        <v>46220</v>
      </c>
      <c r="B53" s="115">
        <v>46220</v>
      </c>
      <c r="C53" s="112">
        <v>14</v>
      </c>
      <c r="D53" s="112">
        <f t="shared" si="49"/>
        <v>46234</v>
      </c>
      <c r="E53" s="112" t="s">
        <v>358</v>
      </c>
      <c r="F53" s="112">
        <v>148991</v>
      </c>
      <c r="G53" s="112" t="s">
        <v>84</v>
      </c>
      <c r="H53" s="112" t="s">
        <v>359</v>
      </c>
      <c r="I53" s="112" t="s">
        <v>190</v>
      </c>
      <c r="J53" s="112" t="s">
        <v>122</v>
      </c>
      <c r="K53" s="112" t="s">
        <v>124</v>
      </c>
      <c r="L53" s="112" t="s">
        <v>31</v>
      </c>
      <c r="M53" s="112" t="s">
        <v>31</v>
      </c>
      <c r="N53" s="112">
        <v>20</v>
      </c>
      <c r="O53" s="112">
        <v>35</v>
      </c>
      <c r="P53" s="112">
        <v>838.03</v>
      </c>
      <c r="Q53" s="71">
        <v>6.55</v>
      </c>
      <c r="R53" s="112">
        <f t="shared" si="50"/>
        <v>5489.0964999999997</v>
      </c>
      <c r="S53" s="71">
        <v>0.05</v>
      </c>
      <c r="T53" s="71">
        <f t="shared" si="51"/>
        <v>41.901499999999999</v>
      </c>
      <c r="U53" s="112" t="s">
        <v>26</v>
      </c>
      <c r="V53" s="113" t="s">
        <v>26</v>
      </c>
      <c r="W53" s="71">
        <v>0</v>
      </c>
      <c r="X53" s="72">
        <v>0</v>
      </c>
      <c r="Y53" s="72">
        <f t="shared" si="40"/>
        <v>70.101209499999996</v>
      </c>
      <c r="Z53" s="72">
        <v>8.3650000000000002E-2</v>
      </c>
      <c r="AA53" s="72" t="s">
        <v>134</v>
      </c>
      <c r="AB53" s="112">
        <v>130522</v>
      </c>
      <c r="AC53" s="71">
        <f t="shared" si="27"/>
        <v>5601.0992094999992</v>
      </c>
      <c r="AD53" s="71">
        <v>0</v>
      </c>
      <c r="AE53" s="1"/>
      <c r="AF53" s="29">
        <f t="shared" si="18"/>
        <v>6.6836499999999992</v>
      </c>
      <c r="AG53" s="142">
        <v>46220</v>
      </c>
      <c r="AH53" s="115">
        <v>46223</v>
      </c>
      <c r="AI53" s="112">
        <v>21</v>
      </c>
      <c r="AJ53" s="114">
        <f t="shared" si="41"/>
        <v>46241</v>
      </c>
      <c r="AK53" s="116" t="s">
        <v>324</v>
      </c>
      <c r="AL53" s="112">
        <v>10030</v>
      </c>
      <c r="AM53" s="112" t="s">
        <v>131</v>
      </c>
      <c r="AN53" s="112" t="s">
        <v>214</v>
      </c>
      <c r="AO53" s="118" t="s">
        <v>360</v>
      </c>
      <c r="AP53" s="125">
        <v>1031</v>
      </c>
      <c r="AQ53" s="71">
        <v>6.9</v>
      </c>
      <c r="AR53" s="71">
        <f t="shared" si="20"/>
        <v>5782.4070000000002</v>
      </c>
      <c r="AS53" s="111">
        <v>46259</v>
      </c>
      <c r="AT53" s="113">
        <v>8242</v>
      </c>
      <c r="AU53" s="83">
        <v>5782.41</v>
      </c>
      <c r="AV53" s="71">
        <f t="shared" si="44"/>
        <v>2.9999999997016857E-3</v>
      </c>
      <c r="AW53" s="11"/>
      <c r="AX53" s="11">
        <f t="shared" si="43"/>
        <v>5782.41</v>
      </c>
      <c r="AY53" s="13">
        <f t="shared" si="45"/>
        <v>0.21635000000000115</v>
      </c>
      <c r="AZ53" s="11">
        <f t="shared" si="22"/>
        <v>181.30779050000092</v>
      </c>
      <c r="BA53" s="17">
        <f t="shared" si="46"/>
        <v>3.2370037329902249E-2</v>
      </c>
    </row>
    <row r="54" spans="1:53" x14ac:dyDescent="0.3">
      <c r="A54" s="115">
        <v>46220</v>
      </c>
      <c r="B54" s="115">
        <v>46220</v>
      </c>
      <c r="C54" s="112">
        <v>14</v>
      </c>
      <c r="D54" s="112">
        <f t="shared" si="49"/>
        <v>46234</v>
      </c>
      <c r="E54" s="112" t="s">
        <v>358</v>
      </c>
      <c r="F54" s="112">
        <v>148991</v>
      </c>
      <c r="G54" s="112" t="s">
        <v>84</v>
      </c>
      <c r="H54" s="112" t="s">
        <v>359</v>
      </c>
      <c r="I54" s="112" t="s">
        <v>190</v>
      </c>
      <c r="J54" s="112" t="s">
        <v>122</v>
      </c>
      <c r="K54" s="112" t="s">
        <v>124</v>
      </c>
      <c r="L54" s="112" t="s">
        <v>31</v>
      </c>
      <c r="M54" s="112" t="s">
        <v>31</v>
      </c>
      <c r="N54" s="112">
        <v>5</v>
      </c>
      <c r="O54" s="112">
        <v>35</v>
      </c>
      <c r="P54" s="112">
        <v>205.67</v>
      </c>
      <c r="Q54" s="71">
        <v>6.55</v>
      </c>
      <c r="R54" s="112">
        <f t="shared" si="50"/>
        <v>1347.1384999999998</v>
      </c>
      <c r="S54" s="71">
        <v>0.05</v>
      </c>
      <c r="T54" s="71">
        <f t="shared" si="51"/>
        <v>10.2835</v>
      </c>
      <c r="U54" s="112" t="s">
        <v>26</v>
      </c>
      <c r="V54" s="113" t="s">
        <v>26</v>
      </c>
      <c r="W54" s="71">
        <v>0</v>
      </c>
      <c r="X54" s="72">
        <v>0</v>
      </c>
      <c r="Y54" s="72">
        <f t="shared" si="40"/>
        <v>17.204295500000001</v>
      </c>
      <c r="Z54" s="72">
        <v>8.3650000000000002E-2</v>
      </c>
      <c r="AA54" s="72" t="s">
        <v>134</v>
      </c>
      <c r="AB54" s="112">
        <v>130522</v>
      </c>
      <c r="AC54" s="71">
        <f t="shared" si="27"/>
        <v>1374.6262954999997</v>
      </c>
      <c r="AD54" s="71">
        <v>0</v>
      </c>
      <c r="AE54" s="1"/>
      <c r="AF54" s="29">
        <f t="shared" ref="AF54:AF81" si="52">AC54/P54</f>
        <v>6.6836499999999992</v>
      </c>
      <c r="AG54" s="142">
        <v>46220</v>
      </c>
      <c r="AH54" s="115">
        <v>46223</v>
      </c>
      <c r="AI54" s="112">
        <v>14</v>
      </c>
      <c r="AJ54" s="114">
        <f t="shared" si="41"/>
        <v>46234</v>
      </c>
      <c r="AK54" s="116" t="s">
        <v>324</v>
      </c>
      <c r="AL54" s="112">
        <v>10032</v>
      </c>
      <c r="AM54" s="112" t="s">
        <v>259</v>
      </c>
      <c r="AN54" s="112" t="s">
        <v>257</v>
      </c>
      <c r="AO54" s="118" t="s">
        <v>363</v>
      </c>
      <c r="AP54" s="125">
        <v>1032</v>
      </c>
      <c r="AQ54" s="71">
        <v>6.8</v>
      </c>
      <c r="AR54" s="71">
        <f t="shared" ref="AR54:AR81" si="53">AQ54*P54</f>
        <v>1398.5559999999998</v>
      </c>
      <c r="AS54" s="111">
        <v>46238</v>
      </c>
      <c r="AT54" s="113" t="s">
        <v>429</v>
      </c>
      <c r="AU54" s="83">
        <v>1398.56</v>
      </c>
      <c r="AV54" s="71">
        <f t="shared" si="44"/>
        <v>4.0000000001327862E-3</v>
      </c>
      <c r="AW54" s="71"/>
      <c r="AX54" s="71">
        <f t="shared" si="43"/>
        <v>1398.56</v>
      </c>
      <c r="AY54" s="72">
        <f t="shared" si="45"/>
        <v>0.11635000000000062</v>
      </c>
      <c r="AZ54" s="71">
        <f t="shared" si="22"/>
        <v>23.929704500000071</v>
      </c>
      <c r="BA54" s="73">
        <f t="shared" si="46"/>
        <v>1.7408152730918083E-2</v>
      </c>
    </row>
    <row r="55" spans="1:53" x14ac:dyDescent="0.3">
      <c r="A55" s="115">
        <v>46220</v>
      </c>
      <c r="B55" s="115">
        <v>46220</v>
      </c>
      <c r="C55" s="112">
        <v>14</v>
      </c>
      <c r="D55" s="112">
        <f t="shared" si="49"/>
        <v>46234</v>
      </c>
      <c r="E55" s="112" t="s">
        <v>358</v>
      </c>
      <c r="F55" s="112">
        <v>148991</v>
      </c>
      <c r="G55" s="112" t="s">
        <v>84</v>
      </c>
      <c r="H55" s="112" t="s">
        <v>359</v>
      </c>
      <c r="I55" s="112" t="s">
        <v>190</v>
      </c>
      <c r="J55" s="112" t="s">
        <v>122</v>
      </c>
      <c r="K55" s="112" t="s">
        <v>124</v>
      </c>
      <c r="L55" s="112" t="s">
        <v>31</v>
      </c>
      <c r="M55" s="112" t="s">
        <v>31</v>
      </c>
      <c r="N55" s="112">
        <v>15</v>
      </c>
      <c r="O55" s="112">
        <v>35</v>
      </c>
      <c r="P55" s="112">
        <v>420.03</v>
      </c>
      <c r="Q55" s="71">
        <v>6.55</v>
      </c>
      <c r="R55" s="112">
        <f>Q55*P55</f>
        <v>2751.1964999999996</v>
      </c>
      <c r="S55" s="71">
        <v>0.05</v>
      </c>
      <c r="T55" s="71">
        <f t="shared" si="51"/>
        <v>21.0015</v>
      </c>
      <c r="U55" s="112" t="s">
        <v>26</v>
      </c>
      <c r="V55" s="113" t="s">
        <v>26</v>
      </c>
      <c r="W55" s="71">
        <v>0</v>
      </c>
      <c r="X55" s="72">
        <v>0</v>
      </c>
      <c r="Y55" s="72">
        <f t="shared" si="40"/>
        <v>35.135509499999998</v>
      </c>
      <c r="Z55" s="72">
        <v>8.3650000000000002E-2</v>
      </c>
      <c r="AA55" s="72" t="s">
        <v>134</v>
      </c>
      <c r="AB55" s="112">
        <v>130522</v>
      </c>
      <c r="AC55" s="71">
        <f t="shared" si="27"/>
        <v>2807.3335094999993</v>
      </c>
      <c r="AD55" s="71">
        <v>0</v>
      </c>
      <c r="AE55" s="1"/>
      <c r="AF55" s="29">
        <f t="shared" si="52"/>
        <v>6.6836499999999992</v>
      </c>
      <c r="AG55" s="142">
        <v>46221</v>
      </c>
      <c r="AH55" s="115">
        <v>46222</v>
      </c>
      <c r="AI55" s="112">
        <v>21</v>
      </c>
      <c r="AJ55" s="114">
        <f t="shared" si="41"/>
        <v>46242</v>
      </c>
      <c r="AK55" s="75">
        <f t="shared" ref="AK53:AK55" ca="1" si="54">TODAY()-AJ55</f>
        <v>19</v>
      </c>
      <c r="AL55" s="26">
        <v>10036</v>
      </c>
      <c r="AM55" s="26" t="s">
        <v>129</v>
      </c>
      <c r="AN55" s="26" t="s">
        <v>130</v>
      </c>
      <c r="AO55" s="57" t="s">
        <v>381</v>
      </c>
      <c r="AP55" s="49">
        <v>1033</v>
      </c>
      <c r="AQ55" s="20">
        <v>6.9</v>
      </c>
      <c r="AR55" s="149">
        <f t="shared" si="53"/>
        <v>2898.2069999999999</v>
      </c>
      <c r="AS55" s="51"/>
      <c r="AT55" s="2"/>
      <c r="AU55" s="106"/>
      <c r="AV55" s="11">
        <f t="shared" si="44"/>
        <v>-2898.2069999999999</v>
      </c>
      <c r="AW55" s="11"/>
      <c r="AX55" s="11">
        <f t="shared" si="43"/>
        <v>0</v>
      </c>
      <c r="AY55" s="13">
        <f t="shared" si="45"/>
        <v>0.21635000000000115</v>
      </c>
      <c r="AZ55" s="11">
        <f t="shared" si="22"/>
        <v>90.873490500000571</v>
      </c>
      <c r="BA55" s="17">
        <f t="shared" si="46"/>
        <v>3.2370037329902249E-2</v>
      </c>
    </row>
    <row r="56" spans="1:53" x14ac:dyDescent="0.3">
      <c r="A56" s="115">
        <v>46220</v>
      </c>
      <c r="B56" s="115">
        <v>46220</v>
      </c>
      <c r="C56" s="112">
        <v>14</v>
      </c>
      <c r="D56" s="112">
        <f t="shared" si="49"/>
        <v>46234</v>
      </c>
      <c r="E56" s="112" t="s">
        <v>358</v>
      </c>
      <c r="F56" s="112">
        <v>148991</v>
      </c>
      <c r="G56" s="112" t="s">
        <v>84</v>
      </c>
      <c r="H56" s="112" t="s">
        <v>359</v>
      </c>
      <c r="I56" s="112" t="s">
        <v>190</v>
      </c>
      <c r="J56" s="112" t="s">
        <v>122</v>
      </c>
      <c r="K56" s="112" t="s">
        <v>124</v>
      </c>
      <c r="L56" s="112" t="s">
        <v>31</v>
      </c>
      <c r="M56" s="112" t="s">
        <v>31</v>
      </c>
      <c r="N56" s="112">
        <v>10</v>
      </c>
      <c r="O56" s="112">
        <v>35</v>
      </c>
      <c r="P56" s="112">
        <v>616.46</v>
      </c>
      <c r="Q56" s="71">
        <v>6.55</v>
      </c>
      <c r="R56" s="112">
        <f>Q56*P56</f>
        <v>4037.8130000000001</v>
      </c>
      <c r="S56" s="71">
        <v>0.05</v>
      </c>
      <c r="T56" s="71">
        <f>S56*P56</f>
        <v>30.823000000000004</v>
      </c>
      <c r="U56" s="112" t="s">
        <v>26</v>
      </c>
      <c r="V56" s="113" t="s">
        <v>26</v>
      </c>
      <c r="W56" s="71">
        <v>0</v>
      </c>
      <c r="X56" s="72">
        <v>0</v>
      </c>
      <c r="Y56" s="72">
        <f t="shared" si="40"/>
        <v>51.566879000000007</v>
      </c>
      <c r="Z56" s="72">
        <v>8.3650000000000002E-2</v>
      </c>
      <c r="AA56" s="72" t="s">
        <v>134</v>
      </c>
      <c r="AB56" s="112">
        <v>130522</v>
      </c>
      <c r="AC56" s="71">
        <f t="shared" si="27"/>
        <v>4120.2028790000004</v>
      </c>
      <c r="AD56" s="71">
        <v>0</v>
      </c>
      <c r="AE56" s="1"/>
      <c r="AF56" s="29">
        <f t="shared" si="52"/>
        <v>6.6836500000000001</v>
      </c>
      <c r="AG56" s="142">
        <v>46220</v>
      </c>
      <c r="AH56" s="115">
        <v>46221</v>
      </c>
      <c r="AI56" s="112">
        <v>21</v>
      </c>
      <c r="AJ56" s="114">
        <f t="shared" si="41"/>
        <v>46241</v>
      </c>
      <c r="AK56" s="116" t="s">
        <v>324</v>
      </c>
      <c r="AL56" s="112">
        <v>10033</v>
      </c>
      <c r="AM56" s="112" t="s">
        <v>218</v>
      </c>
      <c r="AN56" s="112" t="s">
        <v>449</v>
      </c>
      <c r="AO56" s="118" t="s">
        <v>364</v>
      </c>
      <c r="AP56" s="125">
        <v>1034</v>
      </c>
      <c r="AQ56" s="71">
        <v>6.85</v>
      </c>
      <c r="AR56" s="71">
        <f t="shared" si="53"/>
        <v>4222.7510000000002</v>
      </c>
      <c r="AS56" s="111">
        <v>46244</v>
      </c>
      <c r="AT56" s="113">
        <v>62421</v>
      </c>
      <c r="AU56" s="83">
        <v>4222.75</v>
      </c>
      <c r="AV56" s="71">
        <f t="shared" si="44"/>
        <v>-1.0000000002037268E-3</v>
      </c>
      <c r="AW56" s="11"/>
      <c r="AX56" s="11">
        <f t="shared" si="43"/>
        <v>4222.75</v>
      </c>
      <c r="AY56" s="13">
        <f t="shared" si="45"/>
        <v>0.16634999999999955</v>
      </c>
      <c r="AZ56" s="11">
        <f t="shared" si="22"/>
        <v>102.54812099999981</v>
      </c>
      <c r="BA56" s="17">
        <f t="shared" si="46"/>
        <v>2.4889095030409963E-2</v>
      </c>
    </row>
    <row r="57" spans="1:53" x14ac:dyDescent="0.3">
      <c r="A57" s="115">
        <v>46220</v>
      </c>
      <c r="B57" s="115">
        <v>46220</v>
      </c>
      <c r="C57" s="112">
        <v>0</v>
      </c>
      <c r="D57" s="115">
        <f t="shared" si="49"/>
        <v>46220</v>
      </c>
      <c r="E57" s="112" t="s">
        <v>361</v>
      </c>
      <c r="F57" s="140">
        <v>5080866</v>
      </c>
      <c r="G57" s="112" t="s">
        <v>205</v>
      </c>
      <c r="H57" s="112" t="s">
        <v>206</v>
      </c>
      <c r="I57" s="112" t="s">
        <v>207</v>
      </c>
      <c r="J57" s="113" t="s">
        <v>180</v>
      </c>
      <c r="K57" s="122" t="s">
        <v>173</v>
      </c>
      <c r="L57" s="112" t="s">
        <v>32</v>
      </c>
      <c r="M57" s="112" t="s">
        <v>32</v>
      </c>
      <c r="N57" s="123">
        <v>5</v>
      </c>
      <c r="O57" s="112">
        <v>50</v>
      </c>
      <c r="P57" s="124">
        <v>250</v>
      </c>
      <c r="Q57" s="71">
        <v>8.5</v>
      </c>
      <c r="R57" s="71">
        <f t="shared" si="50"/>
        <v>2125</v>
      </c>
      <c r="S57" s="71">
        <v>0.05</v>
      </c>
      <c r="T57" s="71">
        <f t="shared" si="51"/>
        <v>12.5</v>
      </c>
      <c r="U57" s="112" t="s">
        <v>26</v>
      </c>
      <c r="V57" s="113" t="s">
        <v>26</v>
      </c>
      <c r="W57" s="71">
        <v>0</v>
      </c>
      <c r="X57" s="72">
        <v>0</v>
      </c>
      <c r="Y57" s="72">
        <f t="shared" si="40"/>
        <v>0</v>
      </c>
      <c r="Z57" s="72">
        <v>0</v>
      </c>
      <c r="AA57" s="72" t="s">
        <v>26</v>
      </c>
      <c r="AB57" s="112" t="s">
        <v>26</v>
      </c>
      <c r="AC57" s="71">
        <f t="shared" si="27"/>
        <v>2167.5</v>
      </c>
      <c r="AD57" s="71">
        <v>30</v>
      </c>
      <c r="AE57" s="1"/>
      <c r="AF57" s="29">
        <f t="shared" si="52"/>
        <v>8.67</v>
      </c>
      <c r="AG57" s="142">
        <v>46220</v>
      </c>
      <c r="AH57" s="115">
        <v>46222</v>
      </c>
      <c r="AI57" s="112">
        <v>21</v>
      </c>
      <c r="AJ57" s="114">
        <f t="shared" si="41"/>
        <v>46241</v>
      </c>
      <c r="AK57" s="116" t="s">
        <v>324</v>
      </c>
      <c r="AL57" s="112">
        <v>10031</v>
      </c>
      <c r="AM57" s="112" t="s">
        <v>218</v>
      </c>
      <c r="AN57" s="112" t="s">
        <v>449</v>
      </c>
      <c r="AO57" s="118" t="s">
        <v>362</v>
      </c>
      <c r="AP57" s="125">
        <v>1035</v>
      </c>
      <c r="AQ57" s="71">
        <v>9</v>
      </c>
      <c r="AR57" s="71">
        <f t="shared" si="53"/>
        <v>2250</v>
      </c>
      <c r="AS57" s="111">
        <v>46244</v>
      </c>
      <c r="AT57" s="113">
        <v>62421</v>
      </c>
      <c r="AU57" s="83">
        <v>2250</v>
      </c>
      <c r="AV57" s="71">
        <f t="shared" si="44"/>
        <v>0</v>
      </c>
      <c r="AW57" s="11"/>
      <c r="AX57" s="11">
        <f>AU57</f>
        <v>2250</v>
      </c>
      <c r="AY57" s="13">
        <f t="shared" si="45"/>
        <v>0.33000000000000007</v>
      </c>
      <c r="AZ57" s="11">
        <f t="shared" si="22"/>
        <v>82.5</v>
      </c>
      <c r="BA57" s="17">
        <f t="shared" si="46"/>
        <v>3.8062283737024229E-2</v>
      </c>
    </row>
    <row r="58" spans="1:53" x14ac:dyDescent="0.3">
      <c r="A58" s="115">
        <v>46221</v>
      </c>
      <c r="B58" s="115">
        <v>46223</v>
      </c>
      <c r="C58" s="112">
        <v>14</v>
      </c>
      <c r="D58" s="134">
        <f t="shared" si="49"/>
        <v>46237</v>
      </c>
      <c r="E58" s="135" t="s">
        <v>376</v>
      </c>
      <c r="F58" s="135" t="s">
        <v>420</v>
      </c>
      <c r="G58" s="135" t="s">
        <v>57</v>
      </c>
      <c r="H58" s="135" t="s">
        <v>59</v>
      </c>
      <c r="I58" s="135" t="s">
        <v>104</v>
      </c>
      <c r="J58" s="136" t="s">
        <v>110</v>
      </c>
      <c r="K58" s="141" t="s">
        <v>113</v>
      </c>
      <c r="L58" s="135" t="s">
        <v>32</v>
      </c>
      <c r="M58" s="135" t="s">
        <v>32</v>
      </c>
      <c r="N58" s="137">
        <v>2</v>
      </c>
      <c r="O58" s="135">
        <v>80</v>
      </c>
      <c r="P58" s="138">
        <v>158.05000000000001</v>
      </c>
      <c r="Q58" s="139">
        <v>12.1</v>
      </c>
      <c r="R58" s="139">
        <f t="shared" si="50"/>
        <v>1912.405</v>
      </c>
      <c r="S58" s="71">
        <v>0.05</v>
      </c>
      <c r="T58" s="71">
        <f t="shared" si="51"/>
        <v>7.9025000000000007</v>
      </c>
      <c r="U58" s="26" t="s">
        <v>200</v>
      </c>
      <c r="V58" s="293" t="s">
        <v>600</v>
      </c>
      <c r="W58" s="20">
        <f>X58*P58</f>
        <v>82.2760885</v>
      </c>
      <c r="X58" s="72">
        <v>0.52056999999999998</v>
      </c>
      <c r="Y58" s="126">
        <f>Z58*P58</f>
        <v>143.746475</v>
      </c>
      <c r="Z58" s="72">
        <v>0.90949999999999998</v>
      </c>
      <c r="AA58" s="72" t="s">
        <v>380</v>
      </c>
      <c r="AB58" s="120" t="s">
        <v>426</v>
      </c>
      <c r="AC58" s="71">
        <f t="shared" si="27"/>
        <v>2146.3300635000001</v>
      </c>
      <c r="AD58" s="71">
        <v>0</v>
      </c>
      <c r="AE58" s="1"/>
      <c r="AF58" s="29">
        <f t="shared" si="52"/>
        <v>13.580069999999999</v>
      </c>
      <c r="AG58" s="142">
        <v>46223</v>
      </c>
      <c r="AH58" s="115">
        <v>46225</v>
      </c>
      <c r="AI58" s="112">
        <v>14</v>
      </c>
      <c r="AJ58" s="114">
        <f t="shared" si="41"/>
        <v>46237</v>
      </c>
      <c r="AK58" s="116" t="s">
        <v>324</v>
      </c>
      <c r="AL58" s="112">
        <v>10037</v>
      </c>
      <c r="AM58" s="112" t="s">
        <v>259</v>
      </c>
      <c r="AN58" s="112" t="s">
        <v>257</v>
      </c>
      <c r="AO58" s="118" t="s">
        <v>378</v>
      </c>
      <c r="AP58" s="181">
        <v>1037</v>
      </c>
      <c r="AQ58" s="71">
        <v>13.95</v>
      </c>
      <c r="AR58" s="71">
        <f t="shared" si="53"/>
        <v>2204.7975000000001</v>
      </c>
      <c r="AS58" s="111">
        <v>46245</v>
      </c>
      <c r="AT58" s="113" t="s">
        <v>566</v>
      </c>
      <c r="AU58" s="83">
        <v>2204.8000000000002</v>
      </c>
      <c r="AV58" s="71">
        <f t="shared" si="44"/>
        <v>2.5000000000545697E-3</v>
      </c>
      <c r="AW58" s="71"/>
      <c r="AX58" s="71">
        <f t="shared" ref="AX58:AX81" si="55">AU58</f>
        <v>2204.8000000000002</v>
      </c>
      <c r="AY58" s="72">
        <f t="shared" ref="AY58:AY60" si="56">AQ58-AF58</f>
        <v>0.36993000000000009</v>
      </c>
      <c r="AZ58" s="71">
        <f t="shared" si="22"/>
        <v>58.467436500000076</v>
      </c>
      <c r="BA58" s="73">
        <f t="shared" ref="BA58:BA60" si="57">AY58/AF58</f>
        <v>2.7240654871440288E-2</v>
      </c>
    </row>
    <row r="59" spans="1:53" x14ac:dyDescent="0.3">
      <c r="A59" s="115">
        <v>46221</v>
      </c>
      <c r="B59" s="115">
        <v>46223</v>
      </c>
      <c r="C59" s="112">
        <v>14</v>
      </c>
      <c r="D59" s="134">
        <f t="shared" si="49"/>
        <v>46237</v>
      </c>
      <c r="E59" s="135" t="s">
        <v>376</v>
      </c>
      <c r="F59" s="135" t="s">
        <v>420</v>
      </c>
      <c r="G59" s="135" t="s">
        <v>57</v>
      </c>
      <c r="H59" s="135" t="s">
        <v>59</v>
      </c>
      <c r="I59" s="135" t="s">
        <v>104</v>
      </c>
      <c r="J59" s="136" t="s">
        <v>377</v>
      </c>
      <c r="K59" s="136" t="s">
        <v>250</v>
      </c>
      <c r="L59" s="135" t="s">
        <v>114</v>
      </c>
      <c r="M59" s="135" t="s">
        <v>114</v>
      </c>
      <c r="N59" s="137">
        <v>2</v>
      </c>
      <c r="O59" s="135">
        <v>80</v>
      </c>
      <c r="P59" s="138">
        <v>161.6</v>
      </c>
      <c r="Q59" s="139">
        <v>9.9499999999999993</v>
      </c>
      <c r="R59" s="139">
        <f t="shared" si="50"/>
        <v>1607.9199999999998</v>
      </c>
      <c r="S59" s="71">
        <v>0.05</v>
      </c>
      <c r="T59" s="71">
        <f t="shared" si="51"/>
        <v>8.08</v>
      </c>
      <c r="U59" s="26" t="s">
        <v>200</v>
      </c>
      <c r="V59" s="23" t="s">
        <v>600</v>
      </c>
      <c r="W59" s="20">
        <f>X59*P59</f>
        <v>84.124111999999997</v>
      </c>
      <c r="X59" s="72">
        <v>0.52056999999999998</v>
      </c>
      <c r="Y59" s="126">
        <f t="shared" si="40"/>
        <v>146.9752</v>
      </c>
      <c r="Z59" s="72">
        <v>0.90949999999999998</v>
      </c>
      <c r="AA59" s="72" t="s">
        <v>88</v>
      </c>
      <c r="AB59" s="120" t="s">
        <v>426</v>
      </c>
      <c r="AC59" s="71">
        <f t="shared" si="27"/>
        <v>1847.0993119999998</v>
      </c>
      <c r="AD59" s="71">
        <v>0</v>
      </c>
      <c r="AE59" s="1"/>
      <c r="AF59" s="29">
        <f t="shared" si="52"/>
        <v>11.430069999999999</v>
      </c>
      <c r="AG59" s="142">
        <v>46223</v>
      </c>
      <c r="AH59" s="115">
        <v>46225</v>
      </c>
      <c r="AI59" s="112">
        <v>14</v>
      </c>
      <c r="AJ59" s="114">
        <f t="shared" si="41"/>
        <v>46237</v>
      </c>
      <c r="AK59" s="116" t="s">
        <v>324</v>
      </c>
      <c r="AL59" s="112">
        <v>10037</v>
      </c>
      <c r="AM59" s="112" t="s">
        <v>259</v>
      </c>
      <c r="AN59" s="112" t="s">
        <v>257</v>
      </c>
      <c r="AO59" s="118" t="s">
        <v>378</v>
      </c>
      <c r="AP59" s="181">
        <v>1037</v>
      </c>
      <c r="AQ59" s="71">
        <v>13.25</v>
      </c>
      <c r="AR59" s="71">
        <f t="shared" si="53"/>
        <v>2141.1999999999998</v>
      </c>
      <c r="AS59" s="111">
        <v>46245</v>
      </c>
      <c r="AT59" s="113" t="s">
        <v>566</v>
      </c>
      <c r="AU59" s="83">
        <v>2094.16</v>
      </c>
      <c r="AV59" s="71">
        <f>AU59-AR59+AW59</f>
        <v>0</v>
      </c>
      <c r="AW59" s="34">
        <v>47.04</v>
      </c>
      <c r="AX59" s="71">
        <f t="shared" si="55"/>
        <v>2094.16</v>
      </c>
      <c r="AY59" s="72">
        <f>AQ59-AF59-0.29</f>
        <v>1.5299300000000011</v>
      </c>
      <c r="AZ59" s="71">
        <f>AR59-AC59-AW59</f>
        <v>247.060688</v>
      </c>
      <c r="BA59" s="73">
        <f t="shared" si="57"/>
        <v>0.13385132374517403</v>
      </c>
    </row>
    <row r="60" spans="1:53" x14ac:dyDescent="0.3">
      <c r="A60" s="115">
        <v>46221</v>
      </c>
      <c r="B60" s="115">
        <v>46222</v>
      </c>
      <c r="C60" s="112">
        <v>14</v>
      </c>
      <c r="D60" s="115">
        <f t="shared" si="49"/>
        <v>46236</v>
      </c>
      <c r="E60" s="135" t="s">
        <v>382</v>
      </c>
      <c r="F60" s="112">
        <v>44179</v>
      </c>
      <c r="G60" s="112" t="s">
        <v>182</v>
      </c>
      <c r="H60" s="112" t="s">
        <v>193</v>
      </c>
      <c r="I60" s="112" t="s">
        <v>184</v>
      </c>
      <c r="J60" s="113" t="s">
        <v>180</v>
      </c>
      <c r="K60" s="122" t="s">
        <v>173</v>
      </c>
      <c r="L60" s="112" t="s">
        <v>32</v>
      </c>
      <c r="M60" s="112" t="s">
        <v>32</v>
      </c>
      <c r="N60" s="123">
        <v>5</v>
      </c>
      <c r="O60" s="112">
        <v>50</v>
      </c>
      <c r="P60" s="124">
        <v>250</v>
      </c>
      <c r="Q60" s="71">
        <v>8.25</v>
      </c>
      <c r="R60" s="71">
        <f t="shared" si="50"/>
        <v>2062.5</v>
      </c>
      <c r="S60" s="71">
        <v>0.05</v>
      </c>
      <c r="T60" s="71">
        <f t="shared" si="51"/>
        <v>12.5</v>
      </c>
      <c r="U60" s="112" t="s">
        <v>26</v>
      </c>
      <c r="V60" s="113" t="s">
        <v>26</v>
      </c>
      <c r="W60" s="71">
        <v>0</v>
      </c>
      <c r="X60" s="72">
        <v>0</v>
      </c>
      <c r="Y60" s="72">
        <v>0</v>
      </c>
      <c r="Z60" s="72">
        <v>0</v>
      </c>
      <c r="AA60" s="72" t="s">
        <v>26</v>
      </c>
      <c r="AB60" s="112" t="s">
        <v>26</v>
      </c>
      <c r="AC60" s="71">
        <f t="shared" si="27"/>
        <v>2075.33</v>
      </c>
      <c r="AD60" s="71">
        <v>0.33</v>
      </c>
      <c r="AE60" s="1"/>
      <c r="AF60" s="29">
        <f t="shared" si="52"/>
        <v>8.3013200000000005</v>
      </c>
      <c r="AG60" s="142">
        <v>46222</v>
      </c>
      <c r="AH60" s="115">
        <v>46223</v>
      </c>
      <c r="AI60" s="112">
        <v>14</v>
      </c>
      <c r="AJ60" s="114">
        <f t="shared" si="41"/>
        <v>46236</v>
      </c>
      <c r="AK60" s="116" t="s">
        <v>324</v>
      </c>
      <c r="AL60" s="112">
        <v>10038</v>
      </c>
      <c r="AM60" s="112" t="s">
        <v>259</v>
      </c>
      <c r="AN60" s="112" t="s">
        <v>257</v>
      </c>
      <c r="AO60" s="118" t="s">
        <v>379</v>
      </c>
      <c r="AP60" s="125">
        <v>1036</v>
      </c>
      <c r="AQ60" s="71">
        <v>8.85</v>
      </c>
      <c r="AR60" s="71">
        <f t="shared" si="53"/>
        <v>2212.5</v>
      </c>
      <c r="AS60" s="111">
        <v>46238</v>
      </c>
      <c r="AT60" s="113" t="s">
        <v>429</v>
      </c>
      <c r="AU60" s="83">
        <v>2212.5</v>
      </c>
      <c r="AV60" s="71">
        <f t="shared" si="44"/>
        <v>0</v>
      </c>
      <c r="AW60" s="71"/>
      <c r="AX60" s="71">
        <f t="shared" si="55"/>
        <v>2212.5</v>
      </c>
      <c r="AY60" s="72">
        <f t="shared" si="56"/>
        <v>0.54867999999999917</v>
      </c>
      <c r="AZ60" s="71">
        <f>AR60-AC60</f>
        <v>137.17000000000007</v>
      </c>
      <c r="BA60" s="73">
        <f t="shared" si="57"/>
        <v>6.6095512520900193E-2</v>
      </c>
    </row>
    <row r="61" spans="1:53" x14ac:dyDescent="0.3">
      <c r="A61" s="115">
        <v>46223</v>
      </c>
      <c r="B61" s="115">
        <v>46223</v>
      </c>
      <c r="C61" s="112">
        <v>14</v>
      </c>
      <c r="D61" s="115">
        <f t="shared" si="49"/>
        <v>46237</v>
      </c>
      <c r="E61" s="135" t="s">
        <v>385</v>
      </c>
      <c r="F61" s="112">
        <v>149013</v>
      </c>
      <c r="G61" s="112" t="s">
        <v>84</v>
      </c>
      <c r="H61" s="112" t="s">
        <v>359</v>
      </c>
      <c r="I61" s="112" t="s">
        <v>190</v>
      </c>
      <c r="J61" s="113" t="s">
        <v>122</v>
      </c>
      <c r="K61" s="113" t="s">
        <v>124</v>
      </c>
      <c r="L61" s="112" t="s">
        <v>31</v>
      </c>
      <c r="M61" s="112" t="s">
        <v>31</v>
      </c>
      <c r="N61" s="123">
        <v>20</v>
      </c>
      <c r="O61" s="112">
        <v>35</v>
      </c>
      <c r="P61" s="124">
        <v>840.85</v>
      </c>
      <c r="Q61" s="71">
        <v>6.4</v>
      </c>
      <c r="R61" s="71">
        <f t="shared" si="50"/>
        <v>5381.4400000000005</v>
      </c>
      <c r="S61" s="71">
        <v>0.05</v>
      </c>
      <c r="T61" s="71">
        <f t="shared" si="51"/>
        <v>42.042500000000004</v>
      </c>
      <c r="U61" s="112" t="s">
        <v>26</v>
      </c>
      <c r="V61" s="205" t="s">
        <v>26</v>
      </c>
      <c r="W61" s="71">
        <v>0</v>
      </c>
      <c r="X61" s="72">
        <v>0</v>
      </c>
      <c r="Y61" s="13">
        <v>150</v>
      </c>
      <c r="Z61" s="11">
        <f>Y61/P61</f>
        <v>0.17839091395611584</v>
      </c>
      <c r="AA61" s="29" t="s">
        <v>134</v>
      </c>
      <c r="AB61" s="10" t="s">
        <v>27</v>
      </c>
      <c r="AC61" s="11">
        <f t="shared" si="27"/>
        <v>5573.5825000000004</v>
      </c>
      <c r="AD61" s="71">
        <v>0.1</v>
      </c>
      <c r="AE61" s="1"/>
      <c r="AF61" s="29">
        <f t="shared" si="52"/>
        <v>6.6285098412320869</v>
      </c>
      <c r="AG61" s="142">
        <v>46223</v>
      </c>
      <c r="AH61" s="115">
        <v>46225</v>
      </c>
      <c r="AI61" s="112">
        <v>14</v>
      </c>
      <c r="AJ61" s="114">
        <f t="shared" ref="AJ61:AJ66" si="58">AI61+AG61</f>
        <v>46237</v>
      </c>
      <c r="AK61" s="116" t="s">
        <v>324</v>
      </c>
      <c r="AL61" s="112">
        <v>10039</v>
      </c>
      <c r="AM61" s="112" t="s">
        <v>131</v>
      </c>
      <c r="AN61" s="112" t="s">
        <v>214</v>
      </c>
      <c r="AO61" s="118" t="s">
        <v>386</v>
      </c>
      <c r="AP61" s="125">
        <v>1038</v>
      </c>
      <c r="AQ61" s="71">
        <v>6.9</v>
      </c>
      <c r="AR61" s="71">
        <f t="shared" si="53"/>
        <v>5801.8650000000007</v>
      </c>
      <c r="AS61" s="111">
        <v>46259</v>
      </c>
      <c r="AT61" s="113">
        <v>8242</v>
      </c>
      <c r="AU61" s="83">
        <v>5801.87</v>
      </c>
      <c r="AV61" s="71">
        <f t="shared" si="44"/>
        <v>4.9999999991996447E-3</v>
      </c>
      <c r="AW61" s="11"/>
      <c r="AX61" s="11">
        <f t="shared" si="55"/>
        <v>5801.87</v>
      </c>
      <c r="AY61" s="13">
        <f t="shared" ref="AY61:AY66" si="59">AQ61-AF61</f>
        <v>0.27149015876791349</v>
      </c>
      <c r="AZ61" s="11">
        <f>AR61-AC61</f>
        <v>228.28250000000025</v>
      </c>
      <c r="BA61" s="17">
        <f t="shared" ref="BA61:BA66" si="60">AY61/AF61</f>
        <v>4.0957947603718084E-2</v>
      </c>
    </row>
    <row r="62" spans="1:53" x14ac:dyDescent="0.3">
      <c r="A62" s="115">
        <v>46223</v>
      </c>
      <c r="B62" s="115">
        <v>46224</v>
      </c>
      <c r="C62" s="112">
        <v>21</v>
      </c>
      <c r="D62" s="115">
        <f t="shared" si="49"/>
        <v>46245</v>
      </c>
      <c r="E62" s="112" t="s">
        <v>390</v>
      </c>
      <c r="F62" s="112">
        <v>19695</v>
      </c>
      <c r="G62" s="112" t="s">
        <v>391</v>
      </c>
      <c r="H62" s="112" t="s">
        <v>394</v>
      </c>
      <c r="I62" s="112" t="s">
        <v>104</v>
      </c>
      <c r="J62" s="112" t="s">
        <v>172</v>
      </c>
      <c r="K62" s="112" t="s">
        <v>173</v>
      </c>
      <c r="L62" s="112" t="s">
        <v>114</v>
      </c>
      <c r="M62" s="112" t="s">
        <v>114</v>
      </c>
      <c r="N62" s="112">
        <v>40</v>
      </c>
      <c r="O62" s="112">
        <v>50</v>
      </c>
      <c r="P62" s="112">
        <v>2000</v>
      </c>
      <c r="Q62" s="71">
        <v>7</v>
      </c>
      <c r="R62" s="71">
        <f t="shared" si="50"/>
        <v>14000</v>
      </c>
      <c r="S62" s="71">
        <v>0.05</v>
      </c>
      <c r="T62" s="71">
        <f t="shared" si="51"/>
        <v>100</v>
      </c>
      <c r="U62" s="112" t="s">
        <v>200</v>
      </c>
      <c r="V62" s="113">
        <v>104385</v>
      </c>
      <c r="W62" s="71">
        <f>X62*P62</f>
        <v>1198.0999999999999</v>
      </c>
      <c r="X62" s="72">
        <v>0.59904999999999997</v>
      </c>
      <c r="Y62" s="72">
        <f t="shared" ref="Y62:Y81" si="61">Z62*P62</f>
        <v>0</v>
      </c>
      <c r="Z62" s="72">
        <v>0</v>
      </c>
      <c r="AA62" s="72" t="s">
        <v>26</v>
      </c>
      <c r="AB62" s="112" t="s">
        <v>26</v>
      </c>
      <c r="AC62" s="71">
        <f t="shared" si="27"/>
        <v>15343.1</v>
      </c>
      <c r="AD62" s="71">
        <v>45</v>
      </c>
      <c r="AE62" s="1"/>
      <c r="AF62" s="29">
        <f t="shared" si="52"/>
        <v>7.6715499999999999</v>
      </c>
      <c r="AG62" s="142">
        <v>46227</v>
      </c>
      <c r="AH62" s="115">
        <v>46231</v>
      </c>
      <c r="AI62" s="112">
        <v>21</v>
      </c>
      <c r="AJ62" s="114">
        <f t="shared" si="58"/>
        <v>46248</v>
      </c>
      <c r="AK62" s="116" t="s">
        <v>324</v>
      </c>
      <c r="AL62" s="112">
        <v>10046</v>
      </c>
      <c r="AM62" s="112" t="s">
        <v>125</v>
      </c>
      <c r="AN62" s="112" t="s">
        <v>126</v>
      </c>
      <c r="AO62" s="118" t="s">
        <v>437</v>
      </c>
      <c r="AP62" s="112">
        <v>1047</v>
      </c>
      <c r="AQ62" s="71">
        <v>8.5</v>
      </c>
      <c r="AR62" s="71">
        <f t="shared" si="53"/>
        <v>17000</v>
      </c>
      <c r="AS62" s="111">
        <v>46248</v>
      </c>
      <c r="AT62" s="113" t="s">
        <v>429</v>
      </c>
      <c r="AU62" s="83">
        <v>17000</v>
      </c>
      <c r="AV62" s="71">
        <f t="shared" si="44"/>
        <v>0</v>
      </c>
      <c r="AW62" s="71"/>
      <c r="AX62" s="71">
        <f t="shared" si="55"/>
        <v>17000</v>
      </c>
      <c r="AY62" s="72">
        <f t="shared" si="59"/>
        <v>0.82845000000000013</v>
      </c>
      <c r="AZ62" s="71">
        <f>AR62-AC62</f>
        <v>1656.8999999999996</v>
      </c>
      <c r="BA62" s="73">
        <f t="shared" si="60"/>
        <v>0.10798991077422426</v>
      </c>
    </row>
    <row r="63" spans="1:53" x14ac:dyDescent="0.3">
      <c r="A63" s="115">
        <v>46224</v>
      </c>
      <c r="B63" s="115">
        <v>46224</v>
      </c>
      <c r="C63" s="112">
        <v>14</v>
      </c>
      <c r="D63" s="134">
        <f t="shared" si="49"/>
        <v>46238</v>
      </c>
      <c r="E63" s="135" t="s">
        <v>413</v>
      </c>
      <c r="F63" s="135" t="s">
        <v>424</v>
      </c>
      <c r="G63" s="135" t="s">
        <v>57</v>
      </c>
      <c r="H63" s="135" t="s">
        <v>59</v>
      </c>
      <c r="I63" s="135" t="s">
        <v>104</v>
      </c>
      <c r="J63" s="136" t="s">
        <v>110</v>
      </c>
      <c r="K63" s="141" t="s">
        <v>113</v>
      </c>
      <c r="L63" s="135" t="s">
        <v>32</v>
      </c>
      <c r="M63" s="135" t="s">
        <v>32</v>
      </c>
      <c r="N63" s="137">
        <v>6</v>
      </c>
      <c r="O63" s="135">
        <v>80</v>
      </c>
      <c r="P63" s="138">
        <v>598.45000000000005</v>
      </c>
      <c r="Q63" s="139">
        <v>12.1</v>
      </c>
      <c r="R63" s="139">
        <f t="shared" si="50"/>
        <v>7241.2449999999999</v>
      </c>
      <c r="S63" s="71">
        <v>0.05</v>
      </c>
      <c r="T63" s="71">
        <f t="shared" si="51"/>
        <v>29.922500000000003</v>
      </c>
      <c r="U63" s="26" t="s">
        <v>200</v>
      </c>
      <c r="V63" s="206" t="s">
        <v>599</v>
      </c>
      <c r="W63" s="20">
        <f>X63*P63</f>
        <v>166.40021940000003</v>
      </c>
      <c r="X63" s="29">
        <v>0.27805200000000002</v>
      </c>
      <c r="Y63" s="202">
        <v>516</v>
      </c>
      <c r="Z63" s="203">
        <v>0.9</v>
      </c>
      <c r="AA63" s="203" t="s">
        <v>88</v>
      </c>
      <c r="AB63" s="204" t="s">
        <v>515</v>
      </c>
      <c r="AC63" s="71">
        <f t="shared" si="27"/>
        <v>7953.7677193999998</v>
      </c>
      <c r="AD63" s="71">
        <v>0.2</v>
      </c>
      <c r="AE63" s="1"/>
      <c r="AF63" s="29">
        <f t="shared" si="52"/>
        <v>13.290613617511905</v>
      </c>
      <c r="AG63" s="142">
        <v>46224</v>
      </c>
      <c r="AH63" s="115">
        <v>46226</v>
      </c>
      <c r="AI63" s="112">
        <v>21</v>
      </c>
      <c r="AJ63" s="114">
        <f t="shared" si="58"/>
        <v>46245</v>
      </c>
      <c r="AK63" s="116" t="s">
        <v>324</v>
      </c>
      <c r="AL63" s="112">
        <v>10041</v>
      </c>
      <c r="AM63" s="112" t="s">
        <v>300</v>
      </c>
      <c r="AN63" s="112" t="s">
        <v>301</v>
      </c>
      <c r="AO63" s="118">
        <v>33102</v>
      </c>
      <c r="AP63" s="125">
        <v>1039</v>
      </c>
      <c r="AQ63" s="71">
        <v>13.85</v>
      </c>
      <c r="AR63" s="71">
        <f t="shared" si="53"/>
        <v>8288.5325000000012</v>
      </c>
      <c r="AS63" s="111">
        <v>46248</v>
      </c>
      <c r="AT63" s="113">
        <v>235207</v>
      </c>
      <c r="AU63" s="83">
        <v>8288.5300000000007</v>
      </c>
      <c r="AV63" s="71">
        <f t="shared" si="44"/>
        <v>-2.500000000509317E-3</v>
      </c>
      <c r="AW63" s="71"/>
      <c r="AX63" s="71">
        <f t="shared" si="55"/>
        <v>8288.5300000000007</v>
      </c>
      <c r="AY63" s="72">
        <f t="shared" si="59"/>
        <v>0.55938638248809447</v>
      </c>
      <c r="AZ63" s="71">
        <f>AR63-AC63</f>
        <v>334.76478060000136</v>
      </c>
      <c r="BA63" s="73">
        <f t="shared" si="60"/>
        <v>4.2088830402159827E-2</v>
      </c>
    </row>
    <row r="64" spans="1:53" x14ac:dyDescent="0.3">
      <c r="A64" s="115">
        <v>46224</v>
      </c>
      <c r="B64" s="115">
        <v>46224</v>
      </c>
      <c r="C64" s="112">
        <v>0</v>
      </c>
      <c r="D64" s="115">
        <f t="shared" si="49"/>
        <v>46224</v>
      </c>
      <c r="E64" s="147" t="s">
        <v>414</v>
      </c>
      <c r="F64" s="112">
        <v>5080849</v>
      </c>
      <c r="G64" s="112" t="s">
        <v>205</v>
      </c>
      <c r="H64" s="112" t="s">
        <v>206</v>
      </c>
      <c r="I64" s="112" t="s">
        <v>207</v>
      </c>
      <c r="J64" s="113" t="s">
        <v>180</v>
      </c>
      <c r="K64" s="122" t="s">
        <v>173</v>
      </c>
      <c r="L64" s="112" t="s">
        <v>32</v>
      </c>
      <c r="M64" s="112" t="s">
        <v>32</v>
      </c>
      <c r="N64" s="123">
        <v>25</v>
      </c>
      <c r="O64" s="112">
        <v>50</v>
      </c>
      <c r="P64" s="124">
        <v>1250</v>
      </c>
      <c r="Q64" s="71">
        <v>8.25</v>
      </c>
      <c r="R64" s="71">
        <f t="shared" si="50"/>
        <v>10312.5</v>
      </c>
      <c r="S64" s="71">
        <v>0.05</v>
      </c>
      <c r="T64" s="71">
        <f t="shared" si="51"/>
        <v>62.5</v>
      </c>
      <c r="U64" s="112" t="s">
        <v>279</v>
      </c>
      <c r="V64" s="205" t="s">
        <v>26</v>
      </c>
      <c r="W64" s="71">
        <v>0</v>
      </c>
      <c r="X64" s="72">
        <v>0</v>
      </c>
      <c r="Y64" s="107">
        <f t="shared" si="61"/>
        <v>175.00000000000003</v>
      </c>
      <c r="Z64" s="20">
        <v>0.14000000000000001</v>
      </c>
      <c r="AA64" s="29" t="s">
        <v>90</v>
      </c>
      <c r="AB64" s="95" t="s">
        <v>461</v>
      </c>
      <c r="AC64" s="20">
        <f t="shared" si="27"/>
        <v>10580</v>
      </c>
      <c r="AD64" s="71">
        <v>30</v>
      </c>
      <c r="AE64" s="1"/>
      <c r="AF64" s="29">
        <f t="shared" si="52"/>
        <v>8.4640000000000004</v>
      </c>
      <c r="AG64" s="142">
        <v>46226</v>
      </c>
      <c r="AH64" s="115">
        <v>46227</v>
      </c>
      <c r="AI64" s="112">
        <v>21</v>
      </c>
      <c r="AJ64" s="114">
        <f t="shared" si="58"/>
        <v>46247</v>
      </c>
      <c r="AK64" s="112" t="s">
        <v>324</v>
      </c>
      <c r="AL64" s="112">
        <v>10040</v>
      </c>
      <c r="AM64" s="112" t="s">
        <v>125</v>
      </c>
      <c r="AN64" s="112" t="s">
        <v>126</v>
      </c>
      <c r="AO64" s="118" t="s">
        <v>415</v>
      </c>
      <c r="AP64" s="125">
        <v>1044</v>
      </c>
      <c r="AQ64" s="71">
        <v>9</v>
      </c>
      <c r="AR64" s="71">
        <f>AQ64*P64</f>
        <v>11250</v>
      </c>
      <c r="AS64" s="111">
        <v>46244</v>
      </c>
      <c r="AT64" s="113" t="s">
        <v>429</v>
      </c>
      <c r="AU64" s="83">
        <v>11250</v>
      </c>
      <c r="AV64" s="71">
        <f t="shared" si="44"/>
        <v>0</v>
      </c>
      <c r="AW64" s="71"/>
      <c r="AX64" s="71">
        <f t="shared" si="55"/>
        <v>11250</v>
      </c>
      <c r="AY64" s="72">
        <f t="shared" si="59"/>
        <v>0.53599999999999959</v>
      </c>
      <c r="AZ64" s="71">
        <f>AR64-AC64</f>
        <v>670</v>
      </c>
      <c r="BA64" s="73">
        <f t="shared" si="60"/>
        <v>6.3327032136105812E-2</v>
      </c>
    </row>
    <row r="65" spans="1:58" x14ac:dyDescent="0.3">
      <c r="A65" s="115">
        <v>46224</v>
      </c>
      <c r="B65" s="115">
        <v>46225</v>
      </c>
      <c r="C65" s="112">
        <v>14</v>
      </c>
      <c r="D65" s="134">
        <f t="shared" si="49"/>
        <v>46239</v>
      </c>
      <c r="E65" s="135" t="s">
        <v>438</v>
      </c>
      <c r="F65" s="135" t="s">
        <v>457</v>
      </c>
      <c r="G65" s="135" t="s">
        <v>57</v>
      </c>
      <c r="H65" s="135" t="s">
        <v>59</v>
      </c>
      <c r="I65" s="135" t="s">
        <v>104</v>
      </c>
      <c r="J65" s="136" t="s">
        <v>439</v>
      </c>
      <c r="K65" s="141" t="s">
        <v>113</v>
      </c>
      <c r="L65" s="135" t="s">
        <v>114</v>
      </c>
      <c r="M65" s="135" t="s">
        <v>114</v>
      </c>
      <c r="N65" s="137">
        <v>7</v>
      </c>
      <c r="O65" s="135">
        <v>80</v>
      </c>
      <c r="P65" s="138">
        <v>505.55</v>
      </c>
      <c r="Q65" s="139">
        <v>12</v>
      </c>
      <c r="R65" s="139">
        <f t="shared" si="50"/>
        <v>6066.6</v>
      </c>
      <c r="S65" s="71">
        <v>0.05</v>
      </c>
      <c r="T65" s="71">
        <f t="shared" si="51"/>
        <v>25.277500000000003</v>
      </c>
      <c r="U65" s="112" t="s">
        <v>200</v>
      </c>
      <c r="V65" s="113">
        <v>104385</v>
      </c>
      <c r="W65" s="71">
        <f>X65*P65</f>
        <v>302.84972749999997</v>
      </c>
      <c r="X65" s="72">
        <v>0.59904999999999997</v>
      </c>
      <c r="Y65" s="72">
        <f t="shared" si="61"/>
        <v>0</v>
      </c>
      <c r="Z65" s="71">
        <v>0</v>
      </c>
      <c r="AA65" s="72" t="s">
        <v>26</v>
      </c>
      <c r="AB65" s="112" t="s">
        <v>26</v>
      </c>
      <c r="AC65" s="71">
        <f>R65+T65+W65+Y65+AD65-AE65</f>
        <v>5228.3272274999999</v>
      </c>
      <c r="AD65" s="71">
        <v>0</v>
      </c>
      <c r="AE65" s="201">
        <v>1166.4000000000001</v>
      </c>
      <c r="AF65" s="29">
        <f t="shared" si="52"/>
        <v>10.341859811096825</v>
      </c>
      <c r="AG65" s="142">
        <v>46227</v>
      </c>
      <c r="AH65" s="115">
        <v>46231</v>
      </c>
      <c r="AI65" s="112">
        <v>21</v>
      </c>
      <c r="AJ65" s="114">
        <f t="shared" si="58"/>
        <v>46248</v>
      </c>
      <c r="AK65" s="116" t="s">
        <v>324</v>
      </c>
      <c r="AL65" s="112">
        <v>10043</v>
      </c>
      <c r="AM65" s="112" t="s">
        <v>125</v>
      </c>
      <c r="AN65" s="112" t="s">
        <v>126</v>
      </c>
      <c r="AO65" s="118" t="s">
        <v>440</v>
      </c>
      <c r="AP65" s="112">
        <v>1048</v>
      </c>
      <c r="AQ65" s="71">
        <v>13.65</v>
      </c>
      <c r="AR65" s="71">
        <f t="shared" si="53"/>
        <v>6900.7575000000006</v>
      </c>
      <c r="AS65" s="111">
        <v>46248</v>
      </c>
      <c r="AT65" s="113" t="s">
        <v>429</v>
      </c>
      <c r="AU65" s="83">
        <v>5877.01</v>
      </c>
      <c r="AV65" s="71">
        <f>AU65-AR65+AW65</f>
        <v>2.4999999995998223E-3</v>
      </c>
      <c r="AW65" s="34">
        <v>1023.75</v>
      </c>
      <c r="AX65" s="71">
        <f t="shared" si="55"/>
        <v>5877.01</v>
      </c>
      <c r="AY65" s="72">
        <f t="shared" si="59"/>
        <v>3.3081401889031756</v>
      </c>
      <c r="AZ65" s="71">
        <f>AR65-AC65-AW65</f>
        <v>648.68027250000068</v>
      </c>
      <c r="BA65" s="73">
        <f t="shared" si="60"/>
        <v>0.31987865329150356</v>
      </c>
    </row>
    <row r="66" spans="1:58" x14ac:dyDescent="0.3">
      <c r="A66" s="115">
        <v>46224</v>
      </c>
      <c r="B66" s="115">
        <v>46225</v>
      </c>
      <c r="C66" s="112">
        <v>14</v>
      </c>
      <c r="D66" s="134">
        <f t="shared" si="49"/>
        <v>46239</v>
      </c>
      <c r="E66" s="135" t="s">
        <v>438</v>
      </c>
      <c r="F66" s="135" t="s">
        <v>457</v>
      </c>
      <c r="G66" s="135" t="s">
        <v>57</v>
      </c>
      <c r="H66" s="135" t="s">
        <v>59</v>
      </c>
      <c r="I66" s="135" t="s">
        <v>104</v>
      </c>
      <c r="J66" s="136" t="s">
        <v>377</v>
      </c>
      <c r="K66" s="136" t="s">
        <v>250</v>
      </c>
      <c r="L66" s="135" t="s">
        <v>114</v>
      </c>
      <c r="M66" s="135" t="s">
        <v>114</v>
      </c>
      <c r="N66" s="137">
        <v>5</v>
      </c>
      <c r="O66" s="135">
        <v>80</v>
      </c>
      <c r="P66" s="138">
        <v>413.25</v>
      </c>
      <c r="Q66" s="139">
        <v>9</v>
      </c>
      <c r="R66" s="139">
        <f t="shared" si="50"/>
        <v>3719.25</v>
      </c>
      <c r="S66" s="71">
        <v>0.05</v>
      </c>
      <c r="T66" s="71">
        <f t="shared" si="51"/>
        <v>20.662500000000001</v>
      </c>
      <c r="U66" s="112" t="s">
        <v>200</v>
      </c>
      <c r="V66" s="113">
        <v>104385</v>
      </c>
      <c r="W66" s="71">
        <f>X66*P66</f>
        <v>247.5574125</v>
      </c>
      <c r="X66" s="72">
        <v>0.59904999999999997</v>
      </c>
      <c r="Y66" s="72">
        <f t="shared" si="61"/>
        <v>0</v>
      </c>
      <c r="Z66" s="71">
        <v>0</v>
      </c>
      <c r="AA66" s="72" t="s">
        <v>26</v>
      </c>
      <c r="AB66" s="112" t="s">
        <v>26</v>
      </c>
      <c r="AC66" s="71">
        <f t="shared" ref="AC66:AC81" si="62">R66+T66+W66+Y66+AD66</f>
        <v>3987.4699124999997</v>
      </c>
      <c r="AD66" s="71">
        <v>0</v>
      </c>
      <c r="AE66" s="1"/>
      <c r="AF66" s="29">
        <f t="shared" si="52"/>
        <v>9.649049999999999</v>
      </c>
      <c r="AG66" s="142">
        <v>46227</v>
      </c>
      <c r="AH66" s="115">
        <v>46231</v>
      </c>
      <c r="AI66" s="112">
        <v>21</v>
      </c>
      <c r="AJ66" s="114">
        <f t="shared" si="58"/>
        <v>46248</v>
      </c>
      <c r="AK66" s="116" t="s">
        <v>324</v>
      </c>
      <c r="AL66" s="112">
        <v>10043</v>
      </c>
      <c r="AM66" s="112" t="s">
        <v>125</v>
      </c>
      <c r="AN66" s="112" t="s">
        <v>126</v>
      </c>
      <c r="AO66" s="118" t="s">
        <v>440</v>
      </c>
      <c r="AP66" s="112">
        <v>1048</v>
      </c>
      <c r="AQ66" s="71">
        <v>12.25</v>
      </c>
      <c r="AR66" s="71">
        <f t="shared" si="53"/>
        <v>5062.3125</v>
      </c>
      <c r="AS66" s="111">
        <v>46248</v>
      </c>
      <c r="AT66" s="113" t="s">
        <v>429</v>
      </c>
      <c r="AU66" s="83">
        <v>5062.3100000000004</v>
      </c>
      <c r="AV66" s="71">
        <f t="shared" si="44"/>
        <v>-2.4999999995998223E-3</v>
      </c>
      <c r="AW66" s="71"/>
      <c r="AX66" s="71">
        <f t="shared" si="55"/>
        <v>5062.3100000000004</v>
      </c>
      <c r="AY66" s="72">
        <f t="shared" si="59"/>
        <v>2.600950000000001</v>
      </c>
      <c r="AZ66" s="71">
        <f t="shared" ref="AZ66:AZ81" si="63">AR66-AC66</f>
        <v>1074.8425875000003</v>
      </c>
      <c r="BA66" s="73">
        <f t="shared" si="60"/>
        <v>0.26955503391525604</v>
      </c>
    </row>
    <row r="67" spans="1:58" x14ac:dyDescent="0.3">
      <c r="A67" s="115">
        <v>46226</v>
      </c>
      <c r="B67" s="115">
        <v>46227</v>
      </c>
      <c r="C67" s="112">
        <v>15</v>
      </c>
      <c r="D67" s="132">
        <f>C67+B67</f>
        <v>46242</v>
      </c>
      <c r="E67" s="119" t="s">
        <v>451</v>
      </c>
      <c r="F67" s="125">
        <v>976485</v>
      </c>
      <c r="G67" s="125" t="s">
        <v>446</v>
      </c>
      <c r="H67" s="125" t="s">
        <v>455</v>
      </c>
      <c r="I67" s="125" t="s">
        <v>104</v>
      </c>
      <c r="J67" s="148" t="s">
        <v>172</v>
      </c>
      <c r="K67" s="150" t="s">
        <v>173</v>
      </c>
      <c r="L67" s="125" t="s">
        <v>114</v>
      </c>
      <c r="M67" s="125" t="s">
        <v>114</v>
      </c>
      <c r="N67" s="127">
        <v>20</v>
      </c>
      <c r="O67" s="125">
        <v>50</v>
      </c>
      <c r="P67" s="128">
        <f>O67*N67</f>
        <v>1000</v>
      </c>
      <c r="Q67" s="129">
        <v>7.5</v>
      </c>
      <c r="R67" s="129">
        <f t="shared" ref="R67:R77" si="64">Q67*P67</f>
        <v>7500</v>
      </c>
      <c r="S67" s="110">
        <v>0.05</v>
      </c>
      <c r="T67" s="110">
        <f t="shared" ref="T67:T77" si="65">S67*P67</f>
        <v>50</v>
      </c>
      <c r="U67" s="112" t="s">
        <v>200</v>
      </c>
      <c r="V67" s="113">
        <v>104451</v>
      </c>
      <c r="W67" s="71">
        <v>615.67999999999995</v>
      </c>
      <c r="X67" s="72">
        <f>W67/P67</f>
        <v>0.61568000000000001</v>
      </c>
      <c r="Y67" s="72">
        <f t="shared" si="61"/>
        <v>0</v>
      </c>
      <c r="Z67" s="71">
        <v>0</v>
      </c>
      <c r="AA67" s="72" t="s">
        <v>26</v>
      </c>
      <c r="AB67" s="112" t="s">
        <v>26</v>
      </c>
      <c r="AC67" s="71">
        <f t="shared" si="62"/>
        <v>8210.68</v>
      </c>
      <c r="AD67" s="71">
        <v>45</v>
      </c>
      <c r="AE67" s="1"/>
      <c r="AF67" s="29">
        <f t="shared" si="52"/>
        <v>8.21068</v>
      </c>
      <c r="AG67" s="142">
        <v>46227</v>
      </c>
      <c r="AH67" s="115">
        <v>46230</v>
      </c>
      <c r="AI67" s="112">
        <v>21</v>
      </c>
      <c r="AJ67" s="114">
        <f t="shared" ref="AJ67:AJ72" si="66">AI67+AG67</f>
        <v>46248</v>
      </c>
      <c r="AK67" s="75">
        <f t="shared" ref="AK67:AK75" ca="1" si="67">TODAY()-AJ67</f>
        <v>13</v>
      </c>
      <c r="AL67" s="26">
        <v>10047</v>
      </c>
      <c r="AM67" s="26" t="s">
        <v>448</v>
      </c>
      <c r="AN67" s="26" t="s">
        <v>299</v>
      </c>
      <c r="AO67" s="57" t="s">
        <v>447</v>
      </c>
      <c r="AP67" s="49">
        <v>1049</v>
      </c>
      <c r="AQ67" s="20">
        <v>8.1</v>
      </c>
      <c r="AR67" s="20">
        <f t="shared" si="53"/>
        <v>8100</v>
      </c>
      <c r="AS67" s="51"/>
      <c r="AT67" s="2"/>
      <c r="AU67" s="106"/>
      <c r="AV67" s="11">
        <f t="shared" ref="AV67" si="68">AU67-AR67</f>
        <v>-8100</v>
      </c>
      <c r="AW67" s="11"/>
      <c r="AX67" s="11">
        <f t="shared" ref="AX67:AX77" si="69">AU67</f>
        <v>0</v>
      </c>
      <c r="AY67" s="13">
        <f t="shared" ref="AY67:AY81" si="70">AQ67-AF67</f>
        <v>-0.11068000000000033</v>
      </c>
      <c r="AZ67" s="50">
        <f t="shared" si="63"/>
        <v>-110.68000000000029</v>
      </c>
      <c r="BA67" s="100">
        <f t="shared" ref="BA67:BA81" si="71">AY67/AF67</f>
        <v>-1.3480004092231134E-2</v>
      </c>
    </row>
    <row r="68" spans="1:58" x14ac:dyDescent="0.3">
      <c r="A68" s="115">
        <v>46226</v>
      </c>
      <c r="B68" s="115">
        <v>46228</v>
      </c>
      <c r="C68" s="112">
        <v>21</v>
      </c>
      <c r="D68" s="115">
        <f t="shared" ref="D68:D77" si="72">C68+B68</f>
        <v>46249</v>
      </c>
      <c r="E68" s="147" t="s">
        <v>452</v>
      </c>
      <c r="F68" s="112">
        <v>44197</v>
      </c>
      <c r="G68" s="112" t="s">
        <v>182</v>
      </c>
      <c r="H68" s="112" t="s">
        <v>454</v>
      </c>
      <c r="I68" s="112" t="s">
        <v>184</v>
      </c>
      <c r="J68" s="113" t="s">
        <v>180</v>
      </c>
      <c r="K68" s="113" t="s">
        <v>173</v>
      </c>
      <c r="L68" s="112" t="s">
        <v>32</v>
      </c>
      <c r="M68" s="112" t="s">
        <v>32</v>
      </c>
      <c r="N68" s="123">
        <v>5</v>
      </c>
      <c r="O68" s="112">
        <v>50</v>
      </c>
      <c r="P68" s="124">
        <v>250</v>
      </c>
      <c r="Q68" s="71">
        <v>8.25</v>
      </c>
      <c r="R68" s="71">
        <f t="shared" si="64"/>
        <v>2062.5</v>
      </c>
      <c r="S68" s="71">
        <v>0.05</v>
      </c>
      <c r="T68" s="71">
        <f t="shared" si="65"/>
        <v>12.5</v>
      </c>
      <c r="U68" s="112" t="s">
        <v>26</v>
      </c>
      <c r="V68" s="113" t="s">
        <v>26</v>
      </c>
      <c r="W68" s="71">
        <v>0</v>
      </c>
      <c r="X68" s="72">
        <v>0</v>
      </c>
      <c r="Y68" s="72">
        <f t="shared" si="61"/>
        <v>0</v>
      </c>
      <c r="Z68" s="71">
        <v>0</v>
      </c>
      <c r="AA68" s="72" t="s">
        <v>26</v>
      </c>
      <c r="AB68" s="112" t="s">
        <v>26</v>
      </c>
      <c r="AC68" s="71">
        <f t="shared" si="62"/>
        <v>2075.33</v>
      </c>
      <c r="AD68" s="71">
        <v>0.33</v>
      </c>
      <c r="AE68" s="1"/>
      <c r="AF68" s="29">
        <f t="shared" si="52"/>
        <v>8.3013200000000005</v>
      </c>
      <c r="AG68" s="142">
        <v>46228</v>
      </c>
      <c r="AH68" s="115">
        <v>46230</v>
      </c>
      <c r="AI68" s="112">
        <v>21</v>
      </c>
      <c r="AJ68" s="114">
        <f t="shared" si="66"/>
        <v>46249</v>
      </c>
      <c r="AK68" s="116" t="s">
        <v>324</v>
      </c>
      <c r="AL68" s="112">
        <v>10049</v>
      </c>
      <c r="AM68" s="112" t="s">
        <v>218</v>
      </c>
      <c r="AN68" s="112" t="s">
        <v>449</v>
      </c>
      <c r="AO68" s="118" t="s">
        <v>450</v>
      </c>
      <c r="AP68" s="112">
        <v>1043</v>
      </c>
      <c r="AQ68" s="71">
        <v>9</v>
      </c>
      <c r="AR68" s="71">
        <f t="shared" si="53"/>
        <v>2250</v>
      </c>
      <c r="AS68" s="111">
        <v>46248</v>
      </c>
      <c r="AT68" s="113">
        <v>62504</v>
      </c>
      <c r="AU68" s="83">
        <v>2250</v>
      </c>
      <c r="AV68" s="71">
        <f t="shared" ref="AV68:AV77" si="73">AU68-AR68</f>
        <v>0</v>
      </c>
      <c r="AW68" s="71"/>
      <c r="AX68" s="71">
        <f t="shared" si="69"/>
        <v>2250</v>
      </c>
      <c r="AY68" s="72">
        <f t="shared" si="70"/>
        <v>0.69867999999999952</v>
      </c>
      <c r="AZ68" s="71">
        <f t="shared" si="63"/>
        <v>174.67000000000007</v>
      </c>
      <c r="BA68" s="73">
        <f t="shared" si="71"/>
        <v>8.416492798735617E-2</v>
      </c>
    </row>
    <row r="69" spans="1:58" x14ac:dyDescent="0.3">
      <c r="A69" s="115">
        <v>46226</v>
      </c>
      <c r="B69" s="115">
        <v>46228</v>
      </c>
      <c r="C69" s="112">
        <v>21</v>
      </c>
      <c r="D69" s="115">
        <f t="shared" si="72"/>
        <v>46249</v>
      </c>
      <c r="E69" s="147" t="s">
        <v>453</v>
      </c>
      <c r="F69" s="112">
        <v>44198</v>
      </c>
      <c r="G69" s="112" t="s">
        <v>182</v>
      </c>
      <c r="H69" s="112" t="s">
        <v>454</v>
      </c>
      <c r="I69" s="112" t="s">
        <v>184</v>
      </c>
      <c r="J69" s="113" t="s">
        <v>180</v>
      </c>
      <c r="K69" s="113" t="s">
        <v>173</v>
      </c>
      <c r="L69" s="112" t="s">
        <v>32</v>
      </c>
      <c r="M69" s="112" t="s">
        <v>32</v>
      </c>
      <c r="N69" s="123">
        <v>20</v>
      </c>
      <c r="O69" s="112">
        <v>50</v>
      </c>
      <c r="P69" s="124">
        <f t="shared" ref="P69:P73" si="74">O69*N69</f>
        <v>1000</v>
      </c>
      <c r="Q69" s="71">
        <v>8.4</v>
      </c>
      <c r="R69" s="71">
        <f t="shared" si="64"/>
        <v>8400</v>
      </c>
      <c r="S69" s="71">
        <v>0.05</v>
      </c>
      <c r="T69" s="71">
        <f t="shared" si="65"/>
        <v>50</v>
      </c>
      <c r="U69" s="112" t="s">
        <v>26</v>
      </c>
      <c r="V69" s="113" t="s">
        <v>26</v>
      </c>
      <c r="W69" s="71">
        <v>0</v>
      </c>
      <c r="X69" s="72">
        <v>0</v>
      </c>
      <c r="Y69" s="72">
        <f t="shared" si="61"/>
        <v>0</v>
      </c>
      <c r="Z69" s="71">
        <v>0</v>
      </c>
      <c r="AA69" s="72" t="s">
        <v>26</v>
      </c>
      <c r="AB69" s="112" t="s">
        <v>26</v>
      </c>
      <c r="AC69" s="71">
        <f t="shared" si="62"/>
        <v>8450.33</v>
      </c>
      <c r="AD69" s="71">
        <v>0.33</v>
      </c>
      <c r="AE69" s="1"/>
      <c r="AF69" s="29">
        <f t="shared" si="52"/>
        <v>8.4503299999999992</v>
      </c>
      <c r="AG69" s="142">
        <v>46228</v>
      </c>
      <c r="AH69" s="115">
        <v>46230</v>
      </c>
      <c r="AI69" s="112">
        <v>21</v>
      </c>
      <c r="AJ69" s="114">
        <f t="shared" si="66"/>
        <v>46249</v>
      </c>
      <c r="AK69" s="116" t="s">
        <v>324</v>
      </c>
      <c r="AL69" s="112">
        <v>10048</v>
      </c>
      <c r="AM69" s="112" t="s">
        <v>417</v>
      </c>
      <c r="AN69" s="112" t="s">
        <v>418</v>
      </c>
      <c r="AO69" s="118">
        <v>825940</v>
      </c>
      <c r="AP69" s="112">
        <v>1050</v>
      </c>
      <c r="AQ69" s="71">
        <v>8.85</v>
      </c>
      <c r="AR69" s="71">
        <f t="shared" si="53"/>
        <v>8850</v>
      </c>
      <c r="AS69" s="111">
        <v>46260</v>
      </c>
      <c r="AT69" s="113">
        <v>44636</v>
      </c>
      <c r="AU69" s="83">
        <v>8850</v>
      </c>
      <c r="AV69" s="71">
        <f t="shared" si="73"/>
        <v>0</v>
      </c>
      <c r="AW69" s="11"/>
      <c r="AX69" s="11">
        <f t="shared" si="69"/>
        <v>8850</v>
      </c>
      <c r="AY69" s="13">
        <f t="shared" si="70"/>
        <v>0.39967000000000041</v>
      </c>
      <c r="AZ69" s="11">
        <f t="shared" si="63"/>
        <v>399.67000000000007</v>
      </c>
      <c r="BA69" s="17">
        <f t="shared" si="71"/>
        <v>4.7296377774595839E-2</v>
      </c>
    </row>
    <row r="70" spans="1:58" x14ac:dyDescent="0.3">
      <c r="A70" s="115">
        <v>46230</v>
      </c>
      <c r="B70" s="115">
        <v>46231</v>
      </c>
      <c r="C70" s="112"/>
      <c r="D70" s="115">
        <f t="shared" si="72"/>
        <v>46231</v>
      </c>
      <c r="E70" s="147" t="s">
        <v>462</v>
      </c>
      <c r="F70" s="112">
        <v>141063</v>
      </c>
      <c r="G70" s="112" t="s">
        <v>188</v>
      </c>
      <c r="H70" s="112" t="s">
        <v>189</v>
      </c>
      <c r="I70" s="112" t="s">
        <v>34</v>
      </c>
      <c r="J70" s="113" t="s">
        <v>122</v>
      </c>
      <c r="K70" s="113" t="s">
        <v>124</v>
      </c>
      <c r="L70" s="112" t="s">
        <v>31</v>
      </c>
      <c r="M70" s="112" t="s">
        <v>31</v>
      </c>
      <c r="N70" s="123">
        <v>25</v>
      </c>
      <c r="O70" s="112">
        <v>35</v>
      </c>
      <c r="P70" s="124">
        <v>900.96</v>
      </c>
      <c r="Q70" s="71">
        <v>6.4</v>
      </c>
      <c r="R70" s="71">
        <f t="shared" si="64"/>
        <v>5766.1440000000002</v>
      </c>
      <c r="S70" s="71">
        <v>0.05</v>
      </c>
      <c r="T70" s="71">
        <f t="shared" si="65"/>
        <v>45.048000000000002</v>
      </c>
      <c r="U70" s="112" t="s">
        <v>26</v>
      </c>
      <c r="V70" s="113" t="s">
        <v>26</v>
      </c>
      <c r="W70" s="71">
        <v>0</v>
      </c>
      <c r="X70" s="72">
        <v>0</v>
      </c>
      <c r="Y70" s="72">
        <f t="shared" si="61"/>
        <v>136.94592</v>
      </c>
      <c r="Z70" s="72">
        <v>0.152</v>
      </c>
      <c r="AA70" s="72" t="s">
        <v>134</v>
      </c>
      <c r="AB70" s="112">
        <v>130880</v>
      </c>
      <c r="AC70" s="71">
        <f t="shared" si="62"/>
        <v>5948.1379200000001</v>
      </c>
      <c r="AD70" s="71">
        <v>0</v>
      </c>
      <c r="AE70" s="1"/>
      <c r="AF70" s="29">
        <f t="shared" si="52"/>
        <v>6.6020000000000003</v>
      </c>
      <c r="AG70" s="142">
        <v>46230</v>
      </c>
      <c r="AH70" s="115">
        <v>46230</v>
      </c>
      <c r="AI70" s="112">
        <v>14</v>
      </c>
      <c r="AJ70" s="114">
        <f t="shared" si="66"/>
        <v>46244</v>
      </c>
      <c r="AK70" s="116" t="s">
        <v>324</v>
      </c>
      <c r="AL70" s="112">
        <v>10034</v>
      </c>
      <c r="AM70" s="112" t="s">
        <v>259</v>
      </c>
      <c r="AN70" s="112" t="s">
        <v>257</v>
      </c>
      <c r="AO70" s="118" t="s">
        <v>463</v>
      </c>
      <c r="AP70" s="112">
        <v>1051</v>
      </c>
      <c r="AQ70" s="71">
        <v>6.55</v>
      </c>
      <c r="AR70" s="71">
        <f t="shared" si="53"/>
        <v>5901.2880000000005</v>
      </c>
      <c r="AS70" s="111">
        <v>46245</v>
      </c>
      <c r="AT70" s="113" t="s">
        <v>566</v>
      </c>
      <c r="AU70" s="83">
        <v>5901.29</v>
      </c>
      <c r="AV70" s="71">
        <f t="shared" si="73"/>
        <v>1.9999999994979589E-3</v>
      </c>
      <c r="AW70" s="71"/>
      <c r="AX70" s="71">
        <f t="shared" si="69"/>
        <v>5901.29</v>
      </c>
      <c r="AY70" s="72">
        <f t="shared" si="70"/>
        <v>-5.200000000000049E-2</v>
      </c>
      <c r="AZ70" s="182">
        <f t="shared" si="63"/>
        <v>-46.849919999999656</v>
      </c>
      <c r="BA70" s="183">
        <f t="shared" si="71"/>
        <v>-7.8764010905786868E-3</v>
      </c>
    </row>
    <row r="71" spans="1:58" x14ac:dyDescent="0.3">
      <c r="A71" s="115">
        <v>46230</v>
      </c>
      <c r="B71" s="115">
        <v>46231</v>
      </c>
      <c r="C71" s="112"/>
      <c r="D71" s="151">
        <f t="shared" si="72"/>
        <v>46231</v>
      </c>
      <c r="E71" s="147" t="s">
        <v>462</v>
      </c>
      <c r="F71" s="112">
        <v>141063</v>
      </c>
      <c r="G71" s="112" t="s">
        <v>188</v>
      </c>
      <c r="H71" s="112" t="s">
        <v>189</v>
      </c>
      <c r="I71" s="112" t="s">
        <v>34</v>
      </c>
      <c r="J71" s="113" t="s">
        <v>122</v>
      </c>
      <c r="K71" s="113" t="s">
        <v>124</v>
      </c>
      <c r="L71" s="112" t="s">
        <v>31</v>
      </c>
      <c r="M71" s="112" t="s">
        <v>31</v>
      </c>
      <c r="N71" s="123">
        <v>5</v>
      </c>
      <c r="O71" s="112">
        <v>35</v>
      </c>
      <c r="P71" s="124">
        <v>183.9</v>
      </c>
      <c r="Q71" s="71">
        <v>6.4</v>
      </c>
      <c r="R71" s="71">
        <f t="shared" si="64"/>
        <v>1176.96</v>
      </c>
      <c r="S71" s="71">
        <v>0.05</v>
      </c>
      <c r="T71" s="71">
        <f t="shared" si="65"/>
        <v>9.1950000000000003</v>
      </c>
      <c r="U71" s="112" t="s">
        <v>26</v>
      </c>
      <c r="V71" s="113" t="s">
        <v>26</v>
      </c>
      <c r="W71" s="71">
        <v>0</v>
      </c>
      <c r="X71" s="72">
        <v>0</v>
      </c>
      <c r="Y71" s="72">
        <f t="shared" si="61"/>
        <v>27.9528</v>
      </c>
      <c r="Z71" s="72">
        <v>0.152</v>
      </c>
      <c r="AA71" s="72" t="s">
        <v>134</v>
      </c>
      <c r="AB71" s="112">
        <v>130880</v>
      </c>
      <c r="AC71" s="71">
        <f t="shared" si="62"/>
        <v>1214.1078</v>
      </c>
      <c r="AD71" s="71">
        <v>0</v>
      </c>
      <c r="AE71" s="1"/>
      <c r="AF71" s="29">
        <f t="shared" si="52"/>
        <v>6.6019999999999994</v>
      </c>
      <c r="AG71" s="142">
        <v>46234</v>
      </c>
      <c r="AH71" s="115">
        <v>46234</v>
      </c>
      <c r="AI71" s="116">
        <v>14</v>
      </c>
      <c r="AJ71" s="117">
        <f t="shared" si="66"/>
        <v>46248</v>
      </c>
      <c r="AK71" s="75">
        <f t="shared" ca="1" si="67"/>
        <v>13</v>
      </c>
      <c r="AL71" s="26">
        <v>10058</v>
      </c>
      <c r="AM71" s="26" t="s">
        <v>129</v>
      </c>
      <c r="AN71" s="26" t="s">
        <v>130</v>
      </c>
      <c r="AO71" s="57" t="s">
        <v>503</v>
      </c>
      <c r="AP71" s="49">
        <v>1057</v>
      </c>
      <c r="AQ71" s="20">
        <v>6.7</v>
      </c>
      <c r="AR71" s="20">
        <f t="shared" si="53"/>
        <v>1232.1300000000001</v>
      </c>
      <c r="AS71" s="51"/>
      <c r="AT71" s="2"/>
      <c r="AU71" s="106"/>
      <c r="AV71" s="11">
        <f t="shared" si="73"/>
        <v>-1232.1300000000001</v>
      </c>
      <c r="AW71" s="11"/>
      <c r="AX71" s="11">
        <f t="shared" si="69"/>
        <v>0</v>
      </c>
      <c r="AY71" s="13">
        <f t="shared" si="70"/>
        <v>9.8000000000000753E-2</v>
      </c>
      <c r="AZ71" s="11">
        <f t="shared" si="63"/>
        <v>18.022200000000112</v>
      </c>
      <c r="BA71" s="17">
        <f t="shared" si="71"/>
        <v>1.4843986670705961E-2</v>
      </c>
    </row>
    <row r="72" spans="1:58" x14ac:dyDescent="0.3">
      <c r="A72" s="115">
        <v>46228</v>
      </c>
      <c r="B72" s="115">
        <v>46229</v>
      </c>
      <c r="C72" s="112">
        <v>14</v>
      </c>
      <c r="D72" s="132">
        <f t="shared" si="72"/>
        <v>46243</v>
      </c>
      <c r="E72" s="119" t="s">
        <v>468</v>
      </c>
      <c r="F72" s="125">
        <v>13088</v>
      </c>
      <c r="G72" s="125" t="s">
        <v>95</v>
      </c>
      <c r="H72" s="125" t="s">
        <v>229</v>
      </c>
      <c r="I72" s="125" t="s">
        <v>230</v>
      </c>
      <c r="J72" s="148" t="s">
        <v>180</v>
      </c>
      <c r="K72" s="148" t="s">
        <v>173</v>
      </c>
      <c r="L72" s="125" t="s">
        <v>32</v>
      </c>
      <c r="M72" s="125" t="s">
        <v>32</v>
      </c>
      <c r="N72" s="127">
        <v>10</v>
      </c>
      <c r="O72" s="125">
        <v>50</v>
      </c>
      <c r="P72" s="128">
        <f t="shared" si="74"/>
        <v>500</v>
      </c>
      <c r="Q72" s="129">
        <v>7.1</v>
      </c>
      <c r="R72" s="129">
        <f t="shared" si="64"/>
        <v>3550</v>
      </c>
      <c r="S72" s="71">
        <v>0.05</v>
      </c>
      <c r="T72" s="71">
        <f t="shared" si="65"/>
        <v>25</v>
      </c>
      <c r="U72" s="112" t="s">
        <v>26</v>
      </c>
      <c r="V72" s="113" t="s">
        <v>26</v>
      </c>
      <c r="W72" s="71">
        <v>0</v>
      </c>
      <c r="X72" s="72">
        <v>0</v>
      </c>
      <c r="Y72" s="29">
        <v>519.02</v>
      </c>
      <c r="Z72" s="20">
        <f>Y72/P72</f>
        <v>1.0380400000000001</v>
      </c>
      <c r="AA72" s="29" t="s">
        <v>89</v>
      </c>
      <c r="AB72" s="26" t="s">
        <v>545</v>
      </c>
      <c r="AC72" s="20">
        <f t="shared" si="62"/>
        <v>4094.02</v>
      </c>
      <c r="AD72" s="71">
        <v>0</v>
      </c>
      <c r="AE72" s="1"/>
      <c r="AF72" s="29">
        <f t="shared" si="52"/>
        <v>8.1880399999999991</v>
      </c>
      <c r="AG72" s="142">
        <v>46230</v>
      </c>
      <c r="AH72" s="115">
        <v>46230</v>
      </c>
      <c r="AI72" s="112">
        <v>21</v>
      </c>
      <c r="AJ72" s="114">
        <f t="shared" si="66"/>
        <v>46251</v>
      </c>
      <c r="AK72" s="116" t="s">
        <v>324</v>
      </c>
      <c r="AL72" s="116">
        <v>10048</v>
      </c>
      <c r="AM72" s="116" t="s">
        <v>417</v>
      </c>
      <c r="AN72" s="116" t="s">
        <v>418</v>
      </c>
      <c r="AO72" s="152">
        <v>825940</v>
      </c>
      <c r="AP72" s="125">
        <v>1052</v>
      </c>
      <c r="AQ72" s="110">
        <v>8.85</v>
      </c>
      <c r="AR72" s="110">
        <f t="shared" si="53"/>
        <v>4425</v>
      </c>
      <c r="AS72" s="144">
        <v>46260</v>
      </c>
      <c r="AT72" s="145">
        <v>44636</v>
      </c>
      <c r="AU72" s="78">
        <v>4425</v>
      </c>
      <c r="AV72" s="110">
        <f t="shared" si="73"/>
        <v>0</v>
      </c>
      <c r="AW72" s="11"/>
      <c r="AX72" s="11">
        <f t="shared" si="69"/>
        <v>4425</v>
      </c>
      <c r="AY72" s="13">
        <f t="shared" si="70"/>
        <v>0.66196000000000055</v>
      </c>
      <c r="AZ72" s="11">
        <f t="shared" si="63"/>
        <v>330.98</v>
      </c>
      <c r="BA72" s="17">
        <f t="shared" si="71"/>
        <v>8.0844744285567802E-2</v>
      </c>
    </row>
    <row r="73" spans="1:58" ht="12" customHeight="1" x14ac:dyDescent="0.3">
      <c r="A73" s="115">
        <v>46231</v>
      </c>
      <c r="B73" s="115">
        <v>46232</v>
      </c>
      <c r="C73" s="112">
        <v>21</v>
      </c>
      <c r="D73" s="115">
        <f t="shared" si="72"/>
        <v>46253</v>
      </c>
      <c r="E73" s="147" t="s">
        <v>481</v>
      </c>
      <c r="F73" s="112">
        <v>44196</v>
      </c>
      <c r="G73" s="112" t="s">
        <v>182</v>
      </c>
      <c r="H73" s="112" t="s">
        <v>454</v>
      </c>
      <c r="I73" s="112" t="s">
        <v>184</v>
      </c>
      <c r="J73" s="113" t="s">
        <v>180</v>
      </c>
      <c r="K73" s="113" t="s">
        <v>173</v>
      </c>
      <c r="L73" s="112" t="s">
        <v>32</v>
      </c>
      <c r="M73" s="112" t="s">
        <v>32</v>
      </c>
      <c r="N73" s="123">
        <v>5</v>
      </c>
      <c r="O73" s="112">
        <v>50</v>
      </c>
      <c r="P73" s="124">
        <f t="shared" si="74"/>
        <v>250</v>
      </c>
      <c r="Q73" s="71">
        <v>8.25</v>
      </c>
      <c r="R73" s="71">
        <f t="shared" si="64"/>
        <v>2062.5</v>
      </c>
      <c r="S73" s="71">
        <v>0.05</v>
      </c>
      <c r="T73" s="71">
        <f t="shared" si="65"/>
        <v>12.5</v>
      </c>
      <c r="U73" s="112" t="s">
        <v>26</v>
      </c>
      <c r="V73" s="113" t="s">
        <v>26</v>
      </c>
      <c r="W73" s="71">
        <v>0</v>
      </c>
      <c r="X73" s="72">
        <v>0</v>
      </c>
      <c r="Y73" s="72">
        <f t="shared" si="61"/>
        <v>0</v>
      </c>
      <c r="Z73" s="71">
        <v>0</v>
      </c>
      <c r="AA73" s="72" t="s">
        <v>26</v>
      </c>
      <c r="AB73" s="112" t="s">
        <v>26</v>
      </c>
      <c r="AC73" s="71">
        <f t="shared" si="62"/>
        <v>2075</v>
      </c>
      <c r="AD73" s="71">
        <v>0</v>
      </c>
      <c r="AE73" s="1"/>
      <c r="AF73" s="29">
        <f t="shared" si="52"/>
        <v>8.3000000000000007</v>
      </c>
      <c r="AG73" s="114">
        <v>46232</v>
      </c>
      <c r="AH73" s="115">
        <v>46233</v>
      </c>
      <c r="AI73" s="112">
        <v>21</v>
      </c>
      <c r="AJ73" s="114">
        <f t="shared" ref="AJ73:AJ80" si="75">AI73+AG73</f>
        <v>46253</v>
      </c>
      <c r="AK73" s="75">
        <f t="shared" ca="1" si="67"/>
        <v>8</v>
      </c>
      <c r="AL73" s="26">
        <v>10053</v>
      </c>
      <c r="AM73" s="26" t="s">
        <v>127</v>
      </c>
      <c r="AN73" s="26" t="s">
        <v>484</v>
      </c>
      <c r="AO73" s="57" t="s">
        <v>485</v>
      </c>
      <c r="AP73" s="80">
        <v>1053</v>
      </c>
      <c r="AQ73" s="20">
        <v>8.75</v>
      </c>
      <c r="AR73" s="20">
        <f t="shared" si="53"/>
        <v>2187.5</v>
      </c>
      <c r="AS73" s="51"/>
      <c r="AT73" s="2"/>
      <c r="AU73" s="106"/>
      <c r="AV73" s="11">
        <f t="shared" si="73"/>
        <v>-2187.5</v>
      </c>
      <c r="AW73" s="11"/>
      <c r="AX73" s="11">
        <f t="shared" si="69"/>
        <v>0</v>
      </c>
      <c r="AY73" s="13">
        <f t="shared" si="70"/>
        <v>0.44999999999999929</v>
      </c>
      <c r="AZ73" s="11">
        <f t="shared" si="63"/>
        <v>112.5</v>
      </c>
      <c r="BA73" s="17">
        <f t="shared" si="71"/>
        <v>5.4216867469879429E-2</v>
      </c>
    </row>
    <row r="74" spans="1:58" x14ac:dyDescent="0.3">
      <c r="A74" s="115">
        <v>46232</v>
      </c>
      <c r="B74" s="115">
        <v>46233</v>
      </c>
      <c r="C74" s="112">
        <v>14</v>
      </c>
      <c r="D74" s="132">
        <f t="shared" si="72"/>
        <v>46247</v>
      </c>
      <c r="E74" s="119" t="s">
        <v>482</v>
      </c>
      <c r="F74" s="125">
        <v>13098</v>
      </c>
      <c r="G74" s="125" t="s">
        <v>95</v>
      </c>
      <c r="H74" s="125" t="s">
        <v>229</v>
      </c>
      <c r="I74" s="125" t="s">
        <v>501</v>
      </c>
      <c r="J74" s="148" t="s">
        <v>180</v>
      </c>
      <c r="K74" s="148" t="s">
        <v>173</v>
      </c>
      <c r="L74" s="125" t="s">
        <v>32</v>
      </c>
      <c r="M74" s="125" t="s">
        <v>32</v>
      </c>
      <c r="N74" s="127">
        <v>20</v>
      </c>
      <c r="O74" s="125">
        <v>50</v>
      </c>
      <c r="P74" s="128">
        <f>O74*N74</f>
        <v>1000</v>
      </c>
      <c r="Q74" s="129">
        <v>7.15</v>
      </c>
      <c r="R74" s="129">
        <f t="shared" si="64"/>
        <v>7150</v>
      </c>
      <c r="S74" s="71">
        <v>0.05</v>
      </c>
      <c r="T74" s="71">
        <f t="shared" si="65"/>
        <v>50</v>
      </c>
      <c r="U74" s="112" t="s">
        <v>26</v>
      </c>
      <c r="V74" s="113" t="s">
        <v>26</v>
      </c>
      <c r="W74" s="71">
        <v>0</v>
      </c>
      <c r="X74" s="72">
        <v>0</v>
      </c>
      <c r="Y74" s="29">
        <v>1182</v>
      </c>
      <c r="Z74" s="20">
        <f>Y74/P74</f>
        <v>1.1819999999999999</v>
      </c>
      <c r="AA74" s="29" t="s">
        <v>286</v>
      </c>
      <c r="AB74" s="26" t="s">
        <v>658</v>
      </c>
      <c r="AC74" s="20">
        <f t="shared" si="62"/>
        <v>8382</v>
      </c>
      <c r="AD74" s="71">
        <v>0</v>
      </c>
      <c r="AE74" s="1"/>
      <c r="AF74" s="29">
        <f t="shared" si="52"/>
        <v>8.3819999999999997</v>
      </c>
      <c r="AG74" s="114">
        <v>46233</v>
      </c>
      <c r="AH74" s="115">
        <v>46234</v>
      </c>
      <c r="AI74" s="112">
        <v>21</v>
      </c>
      <c r="AJ74" s="114">
        <f t="shared" si="75"/>
        <v>46254</v>
      </c>
      <c r="AK74" s="116" t="s">
        <v>324</v>
      </c>
      <c r="AL74" s="112">
        <v>10054</v>
      </c>
      <c r="AM74" s="112" t="s">
        <v>125</v>
      </c>
      <c r="AN74" s="112" t="s">
        <v>126</v>
      </c>
      <c r="AO74" s="118" t="s">
        <v>486</v>
      </c>
      <c r="AP74" s="112">
        <v>1055</v>
      </c>
      <c r="AQ74" s="71">
        <v>9</v>
      </c>
      <c r="AR74" s="71">
        <f t="shared" si="53"/>
        <v>9000</v>
      </c>
      <c r="AS74" s="111">
        <v>46260</v>
      </c>
      <c r="AT74" s="113" t="s">
        <v>744</v>
      </c>
      <c r="AU74" s="83">
        <v>9000</v>
      </c>
      <c r="AV74" s="71">
        <f t="shared" si="73"/>
        <v>0</v>
      </c>
      <c r="AW74" s="11"/>
      <c r="AX74" s="11">
        <f t="shared" si="69"/>
        <v>9000</v>
      </c>
      <c r="AY74" s="13">
        <f t="shared" si="70"/>
        <v>0.61800000000000033</v>
      </c>
      <c r="AZ74" s="11">
        <f t="shared" si="63"/>
        <v>618</v>
      </c>
      <c r="BA74" s="17">
        <f t="shared" si="71"/>
        <v>7.3729420186113143E-2</v>
      </c>
    </row>
    <row r="75" spans="1:58" x14ac:dyDescent="0.3">
      <c r="A75" s="115">
        <v>46232</v>
      </c>
      <c r="B75" s="115">
        <v>46234</v>
      </c>
      <c r="C75" s="112">
        <v>14</v>
      </c>
      <c r="D75" s="115">
        <f t="shared" si="72"/>
        <v>46248</v>
      </c>
      <c r="E75" s="147" t="s">
        <v>490</v>
      </c>
      <c r="F75" s="112">
        <v>28504</v>
      </c>
      <c r="G75" s="112" t="s">
        <v>76</v>
      </c>
      <c r="H75" s="112" t="s">
        <v>491</v>
      </c>
      <c r="I75" s="112" t="s">
        <v>492</v>
      </c>
      <c r="J75" s="113" t="s">
        <v>502</v>
      </c>
      <c r="K75" s="113" t="s">
        <v>494</v>
      </c>
      <c r="L75" s="112" t="s">
        <v>32</v>
      </c>
      <c r="M75" s="112" t="s">
        <v>32</v>
      </c>
      <c r="N75" s="123">
        <v>5</v>
      </c>
      <c r="O75" s="112">
        <v>80</v>
      </c>
      <c r="P75" s="124">
        <v>324.85000000000002</v>
      </c>
      <c r="Q75" s="71">
        <v>8.75</v>
      </c>
      <c r="R75" s="71">
        <f t="shared" si="64"/>
        <v>2842.4375</v>
      </c>
      <c r="S75" s="20">
        <v>0.05</v>
      </c>
      <c r="T75" s="20">
        <f>S75*P75</f>
        <v>16.242500000000003</v>
      </c>
      <c r="U75" s="26" t="s">
        <v>157</v>
      </c>
      <c r="V75" s="23">
        <v>105452</v>
      </c>
      <c r="W75" s="20">
        <v>689.6</v>
      </c>
      <c r="X75" s="29">
        <v>1.63</v>
      </c>
      <c r="Y75" s="29">
        <f t="shared" si="61"/>
        <v>0</v>
      </c>
      <c r="Z75" s="20">
        <v>0</v>
      </c>
      <c r="AA75" s="29" t="s">
        <v>26</v>
      </c>
      <c r="AB75" s="26" t="s">
        <v>26</v>
      </c>
      <c r="AC75" s="20">
        <f t="shared" si="62"/>
        <v>3548.2799999999997</v>
      </c>
      <c r="AD75" s="71">
        <v>0</v>
      </c>
      <c r="AE75" s="1"/>
      <c r="AF75" s="29">
        <f t="shared" si="52"/>
        <v>10.922825919655224</v>
      </c>
      <c r="AG75" s="142">
        <v>46234</v>
      </c>
      <c r="AH75" s="115">
        <v>46237</v>
      </c>
      <c r="AI75" s="112">
        <v>21</v>
      </c>
      <c r="AJ75" s="114">
        <f t="shared" si="75"/>
        <v>46255</v>
      </c>
      <c r="AK75" s="116" t="s">
        <v>324</v>
      </c>
      <c r="AL75" s="112">
        <v>10056</v>
      </c>
      <c r="AM75" s="112" t="s">
        <v>125</v>
      </c>
      <c r="AN75" s="112" t="s">
        <v>126</v>
      </c>
      <c r="AO75" s="118" t="s">
        <v>493</v>
      </c>
      <c r="AP75" s="125">
        <v>1058</v>
      </c>
      <c r="AQ75" s="71">
        <v>12</v>
      </c>
      <c r="AR75" s="71">
        <f t="shared" si="53"/>
        <v>3898.2000000000003</v>
      </c>
      <c r="AS75" s="111">
        <v>46260</v>
      </c>
      <c r="AT75" s="113" t="s">
        <v>746</v>
      </c>
      <c r="AU75" s="83">
        <v>3898.2</v>
      </c>
      <c r="AV75" s="71">
        <f t="shared" si="73"/>
        <v>0</v>
      </c>
      <c r="AW75" s="11"/>
      <c r="AX75" s="11">
        <f t="shared" si="69"/>
        <v>3898.2</v>
      </c>
      <c r="AY75" s="13">
        <f t="shared" si="70"/>
        <v>1.0771740803447756</v>
      </c>
      <c r="AZ75" s="11">
        <f t="shared" si="63"/>
        <v>349.92000000000053</v>
      </c>
      <c r="BA75" s="17">
        <f t="shared" si="71"/>
        <v>9.8616794615983064E-2</v>
      </c>
    </row>
    <row r="76" spans="1:58" x14ac:dyDescent="0.3">
      <c r="A76" s="115">
        <v>46227</v>
      </c>
      <c r="B76" s="115">
        <v>46231</v>
      </c>
      <c r="C76" s="112">
        <v>7</v>
      </c>
      <c r="D76" s="115">
        <f t="shared" si="72"/>
        <v>46238</v>
      </c>
      <c r="E76" s="147" t="s">
        <v>458</v>
      </c>
      <c r="F76" s="112">
        <v>1290</v>
      </c>
      <c r="G76" s="112" t="s">
        <v>372</v>
      </c>
      <c r="H76" s="112" t="s">
        <v>373</v>
      </c>
      <c r="I76" s="112" t="s">
        <v>370</v>
      </c>
      <c r="J76" s="113" t="s">
        <v>456</v>
      </c>
      <c r="K76" s="113" t="s">
        <v>124</v>
      </c>
      <c r="L76" s="112" t="s">
        <v>370</v>
      </c>
      <c r="M76" s="112" t="s">
        <v>370</v>
      </c>
      <c r="N76" s="123">
        <v>210</v>
      </c>
      <c r="O76" s="112">
        <v>40</v>
      </c>
      <c r="P76" s="124">
        <v>8537.57</v>
      </c>
      <c r="Q76" s="71">
        <v>7.2</v>
      </c>
      <c r="R76" s="71">
        <f t="shared" si="64"/>
        <v>61470.504000000001</v>
      </c>
      <c r="S76" s="20">
        <v>0.05</v>
      </c>
      <c r="T76" s="20">
        <f t="shared" si="65"/>
        <v>426.87850000000003</v>
      </c>
      <c r="U76" s="26" t="s">
        <v>466</v>
      </c>
      <c r="V76" s="23">
        <v>14121</v>
      </c>
      <c r="W76" s="20">
        <v>300</v>
      </c>
      <c r="X76" s="29">
        <f>W76/P76</f>
        <v>3.5138804132791884E-2</v>
      </c>
      <c r="Y76" s="29">
        <v>998.01</v>
      </c>
      <c r="Z76" s="33">
        <f>Y76/P76</f>
        <v>0.11689625970855876</v>
      </c>
      <c r="AA76" s="72" t="s">
        <v>464</v>
      </c>
      <c r="AB76" s="112">
        <v>18145</v>
      </c>
      <c r="AC76" s="20">
        <f t="shared" si="62"/>
        <v>63195.392500000002</v>
      </c>
      <c r="AD76" s="71">
        <v>0</v>
      </c>
      <c r="AE76" s="1"/>
      <c r="AF76" s="29">
        <f t="shared" si="52"/>
        <v>7.4020350638413515</v>
      </c>
      <c r="AG76" s="114">
        <v>46232</v>
      </c>
      <c r="AH76" s="115">
        <v>46232</v>
      </c>
      <c r="AI76" s="112">
        <v>0</v>
      </c>
      <c r="AJ76" s="114">
        <f t="shared" si="75"/>
        <v>46232</v>
      </c>
      <c r="AK76" s="112" t="s">
        <v>324</v>
      </c>
      <c r="AL76" s="112">
        <v>10050</v>
      </c>
      <c r="AM76" s="112" t="s">
        <v>174</v>
      </c>
      <c r="AN76" s="112" t="s">
        <v>175</v>
      </c>
      <c r="AO76" s="118">
        <v>176147</v>
      </c>
      <c r="AP76" s="112">
        <v>1045</v>
      </c>
      <c r="AQ76" s="71">
        <v>7.65</v>
      </c>
      <c r="AR76" s="71">
        <f t="shared" si="53"/>
        <v>65312.410499999998</v>
      </c>
      <c r="AS76" s="111">
        <v>46231</v>
      </c>
      <c r="AT76" s="113" t="s">
        <v>566</v>
      </c>
      <c r="AU76" s="83">
        <v>65312.41</v>
      </c>
      <c r="AV76" s="71">
        <f t="shared" si="73"/>
        <v>-4.999999946448952E-4</v>
      </c>
      <c r="AW76" s="71"/>
      <c r="AX76" s="71">
        <f t="shared" si="69"/>
        <v>65312.41</v>
      </c>
      <c r="AY76" s="72">
        <f t="shared" si="70"/>
        <v>0.2479649361586489</v>
      </c>
      <c r="AZ76" s="71">
        <f t="shared" si="63"/>
        <v>2117.0179999999964</v>
      </c>
      <c r="BA76" s="73">
        <f t="shared" si="71"/>
        <v>3.3499562487882259E-2</v>
      </c>
    </row>
    <row r="77" spans="1:58" x14ac:dyDescent="0.3">
      <c r="A77" s="115">
        <v>46227</v>
      </c>
      <c r="B77" s="115">
        <v>46231</v>
      </c>
      <c r="C77" s="112">
        <v>7</v>
      </c>
      <c r="D77" s="115">
        <f t="shared" si="72"/>
        <v>46238</v>
      </c>
      <c r="E77" s="147" t="s">
        <v>459</v>
      </c>
      <c r="F77" s="112">
        <v>1291</v>
      </c>
      <c r="G77" s="112" t="s">
        <v>372</v>
      </c>
      <c r="H77" s="112" t="s">
        <v>373</v>
      </c>
      <c r="I77" s="112" t="s">
        <v>370</v>
      </c>
      <c r="J77" s="113" t="s">
        <v>456</v>
      </c>
      <c r="K77" s="113" t="s">
        <v>124</v>
      </c>
      <c r="L77" s="112" t="s">
        <v>370</v>
      </c>
      <c r="M77" s="112" t="s">
        <v>370</v>
      </c>
      <c r="N77" s="123">
        <v>210</v>
      </c>
      <c r="O77" s="112">
        <v>40</v>
      </c>
      <c r="P77" s="124">
        <v>8611.64</v>
      </c>
      <c r="Q77" s="71">
        <v>7.2</v>
      </c>
      <c r="R77" s="71">
        <f t="shared" si="64"/>
        <v>62003.807999999997</v>
      </c>
      <c r="S77" s="20">
        <v>0.05</v>
      </c>
      <c r="T77" s="20">
        <f t="shared" si="65"/>
        <v>430.58199999999999</v>
      </c>
      <c r="U77" s="26" t="s">
        <v>466</v>
      </c>
      <c r="V77" s="23">
        <v>14122</v>
      </c>
      <c r="W77" s="20">
        <v>300</v>
      </c>
      <c r="X77" s="29">
        <f>W77/P77</f>
        <v>3.4836570037762846E-2</v>
      </c>
      <c r="Y77" s="29">
        <v>688.93</v>
      </c>
      <c r="Z77" s="20">
        <v>0.08</v>
      </c>
      <c r="AA77" s="72" t="s">
        <v>464</v>
      </c>
      <c r="AB77" s="112">
        <v>18144</v>
      </c>
      <c r="AC77" s="20">
        <f t="shared" si="62"/>
        <v>63423.32</v>
      </c>
      <c r="AD77" s="71">
        <v>0</v>
      </c>
      <c r="AE77" s="1"/>
      <c r="AF77" s="29">
        <f t="shared" si="52"/>
        <v>7.3648364306914829</v>
      </c>
      <c r="AG77" s="114">
        <v>46233</v>
      </c>
      <c r="AH77" s="115">
        <v>46233</v>
      </c>
      <c r="AI77" s="112">
        <v>0</v>
      </c>
      <c r="AJ77" s="114">
        <f t="shared" si="75"/>
        <v>46233</v>
      </c>
      <c r="AK77" s="112" t="s">
        <v>324</v>
      </c>
      <c r="AL77" s="112">
        <v>10051</v>
      </c>
      <c r="AM77" s="112" t="s">
        <v>174</v>
      </c>
      <c r="AN77" s="112" t="s">
        <v>175</v>
      </c>
      <c r="AO77" s="118">
        <v>176148</v>
      </c>
      <c r="AP77" s="112">
        <v>1046</v>
      </c>
      <c r="AQ77" s="71">
        <v>7.65</v>
      </c>
      <c r="AR77" s="71">
        <f t="shared" si="53"/>
        <v>65879.046000000002</v>
      </c>
      <c r="AS77" s="111">
        <v>46231</v>
      </c>
      <c r="AT77" s="113" t="s">
        <v>566</v>
      </c>
      <c r="AU77" s="83">
        <v>65879.05</v>
      </c>
      <c r="AV77" s="71">
        <f t="shared" si="73"/>
        <v>4.0000000008149073E-3</v>
      </c>
      <c r="AW77" s="71"/>
      <c r="AX77" s="71">
        <f t="shared" si="69"/>
        <v>65879.05</v>
      </c>
      <c r="AY77" s="72">
        <f t="shared" si="70"/>
        <v>0.28516356930851749</v>
      </c>
      <c r="AZ77" s="71">
        <f t="shared" si="63"/>
        <v>2455.7260000000024</v>
      </c>
      <c r="BA77" s="73">
        <f t="shared" si="71"/>
        <v>3.871960660526761E-2</v>
      </c>
    </row>
    <row r="78" spans="1:58" x14ac:dyDescent="0.3">
      <c r="A78" s="115">
        <v>46227</v>
      </c>
      <c r="B78" s="115">
        <v>46232</v>
      </c>
      <c r="C78" s="112">
        <v>7</v>
      </c>
      <c r="D78" s="115">
        <f t="shared" si="49"/>
        <v>46239</v>
      </c>
      <c r="E78" s="147" t="s">
        <v>460</v>
      </c>
      <c r="F78" s="112">
        <v>1293</v>
      </c>
      <c r="G78" s="112" t="s">
        <v>372</v>
      </c>
      <c r="H78" s="112" t="s">
        <v>373</v>
      </c>
      <c r="I78" s="112" t="s">
        <v>370</v>
      </c>
      <c r="J78" s="113" t="s">
        <v>456</v>
      </c>
      <c r="K78" s="113" t="s">
        <v>124</v>
      </c>
      <c r="L78" s="112" t="s">
        <v>370</v>
      </c>
      <c r="M78" s="112" t="s">
        <v>370</v>
      </c>
      <c r="N78" s="123">
        <v>420</v>
      </c>
      <c r="O78" s="112">
        <v>40</v>
      </c>
      <c r="P78" s="124">
        <v>17177.25</v>
      </c>
      <c r="Q78" s="71">
        <v>7.2</v>
      </c>
      <c r="R78" s="71">
        <f t="shared" si="32"/>
        <v>123676.2</v>
      </c>
      <c r="S78" s="20">
        <v>0.05</v>
      </c>
      <c r="T78" s="20">
        <f t="shared" si="33"/>
        <v>858.86250000000007</v>
      </c>
      <c r="U78" s="26" t="s">
        <v>466</v>
      </c>
      <c r="V78" s="23">
        <v>14123</v>
      </c>
      <c r="W78" s="20">
        <v>300</v>
      </c>
      <c r="X78" s="29">
        <f>W78/P78</f>
        <v>1.7464960922149938E-2</v>
      </c>
      <c r="Y78" s="29">
        <v>1689.18</v>
      </c>
      <c r="Z78" s="29">
        <f>Y78/P78</f>
        <v>9.8338208968257443E-2</v>
      </c>
      <c r="AA78" s="72" t="s">
        <v>464</v>
      </c>
      <c r="AB78" s="112">
        <v>18167</v>
      </c>
      <c r="AC78" s="20">
        <f t="shared" si="62"/>
        <v>126554.24249999999</v>
      </c>
      <c r="AD78" s="71">
        <v>30</v>
      </c>
      <c r="AE78" s="1"/>
      <c r="AF78" s="29">
        <f t="shared" si="52"/>
        <v>7.3675496659826223</v>
      </c>
      <c r="AG78" s="114">
        <v>46233</v>
      </c>
      <c r="AH78" s="115">
        <v>46233</v>
      </c>
      <c r="AI78" s="112">
        <v>7</v>
      </c>
      <c r="AJ78" s="114">
        <f t="shared" si="75"/>
        <v>46240</v>
      </c>
      <c r="AK78" s="112" t="s">
        <v>324</v>
      </c>
      <c r="AL78" s="112">
        <v>10052</v>
      </c>
      <c r="AM78" s="112" t="s">
        <v>174</v>
      </c>
      <c r="AN78" s="112" t="s">
        <v>175</v>
      </c>
      <c r="AO78" s="118">
        <v>176238</v>
      </c>
      <c r="AP78" s="112">
        <v>1054</v>
      </c>
      <c r="AQ78" s="71">
        <v>7.65</v>
      </c>
      <c r="AR78" s="71">
        <f t="shared" si="53"/>
        <v>131405.96249999999</v>
      </c>
      <c r="AS78" s="111">
        <v>46240</v>
      </c>
      <c r="AT78" s="113" t="s">
        <v>566</v>
      </c>
      <c r="AU78" s="83">
        <v>131405.96</v>
      </c>
      <c r="AV78" s="71">
        <f t="shared" si="44"/>
        <v>-2.5000000023283064E-3</v>
      </c>
      <c r="AW78" s="71"/>
      <c r="AX78" s="71">
        <f t="shared" si="55"/>
        <v>131405.96</v>
      </c>
      <c r="AY78" s="72">
        <f t="shared" si="70"/>
        <v>0.28245033401737807</v>
      </c>
      <c r="AZ78" s="71">
        <f t="shared" si="63"/>
        <v>4851.7200000000012</v>
      </c>
      <c r="BA78" s="73">
        <f t="shared" si="71"/>
        <v>3.8337079059202681E-2</v>
      </c>
    </row>
    <row r="79" spans="1:58" x14ac:dyDescent="0.3">
      <c r="A79" s="115">
        <v>46231</v>
      </c>
      <c r="B79" s="115">
        <v>46233</v>
      </c>
      <c r="C79" s="112">
        <v>7</v>
      </c>
      <c r="D79" s="115">
        <f>C79+B79</f>
        <v>46240</v>
      </c>
      <c r="E79" s="147" t="s">
        <v>483</v>
      </c>
      <c r="F79" s="112">
        <v>1294</v>
      </c>
      <c r="G79" s="112" t="s">
        <v>372</v>
      </c>
      <c r="H79" s="112" t="s">
        <v>373</v>
      </c>
      <c r="I79" s="112" t="s">
        <v>370</v>
      </c>
      <c r="J79" s="113" t="s">
        <v>456</v>
      </c>
      <c r="K79" s="113" t="s">
        <v>124</v>
      </c>
      <c r="L79" s="112" t="s">
        <v>370</v>
      </c>
      <c r="M79" s="112" t="s">
        <v>370</v>
      </c>
      <c r="N79" s="123">
        <v>420</v>
      </c>
      <c r="O79" s="112">
        <v>40</v>
      </c>
      <c r="P79" s="124">
        <v>16982.099999999999</v>
      </c>
      <c r="Q79" s="71">
        <v>7.3</v>
      </c>
      <c r="R79" s="71">
        <f>Q79*P79</f>
        <v>123969.32999999999</v>
      </c>
      <c r="S79" s="20">
        <v>0.05</v>
      </c>
      <c r="T79" s="20">
        <f>S79*P79</f>
        <v>849.10500000000002</v>
      </c>
      <c r="U79" s="26" t="s">
        <v>466</v>
      </c>
      <c r="V79" s="23">
        <v>14125</v>
      </c>
      <c r="W79" s="20">
        <v>475</v>
      </c>
      <c r="X79" s="29">
        <f>W79/P79</f>
        <v>2.7970627896432128E-2</v>
      </c>
      <c r="Y79" s="29">
        <v>1513.57</v>
      </c>
      <c r="Z79" s="29">
        <f>Y79/P79</f>
        <v>8.9127375295163735E-2</v>
      </c>
      <c r="AA79" s="72" t="s">
        <v>464</v>
      </c>
      <c r="AB79" s="112">
        <v>18164</v>
      </c>
      <c r="AC79" s="20">
        <f t="shared" si="62"/>
        <v>126837.00499999999</v>
      </c>
      <c r="AD79" s="71">
        <v>30</v>
      </c>
      <c r="AE79" s="1"/>
      <c r="AF79" s="29">
        <f t="shared" si="52"/>
        <v>7.4688645691640021</v>
      </c>
      <c r="AG79" s="114">
        <v>46234</v>
      </c>
      <c r="AH79" s="115">
        <v>46235</v>
      </c>
      <c r="AI79" s="112">
        <v>7</v>
      </c>
      <c r="AJ79" s="114">
        <f t="shared" si="75"/>
        <v>46241</v>
      </c>
      <c r="AK79" s="116" t="s">
        <v>324</v>
      </c>
      <c r="AL79" s="112">
        <v>10055</v>
      </c>
      <c r="AM79" s="112" t="s">
        <v>174</v>
      </c>
      <c r="AN79" s="112" t="s">
        <v>175</v>
      </c>
      <c r="AO79" s="118">
        <v>176224</v>
      </c>
      <c r="AP79" s="112">
        <v>1056</v>
      </c>
      <c r="AQ79" s="71">
        <v>7.75</v>
      </c>
      <c r="AR79" s="71">
        <f t="shared" si="53"/>
        <v>131611.27499999999</v>
      </c>
      <c r="AS79" s="111">
        <v>46241</v>
      </c>
      <c r="AT79" s="113" t="s">
        <v>566</v>
      </c>
      <c r="AU79" s="83">
        <v>131611.28</v>
      </c>
      <c r="AV79" s="71">
        <f>AU79-AR79</f>
        <v>5.0000000046566129E-3</v>
      </c>
      <c r="AW79" s="71"/>
      <c r="AX79" s="71">
        <f>AU79</f>
        <v>131611.28</v>
      </c>
      <c r="AY79" s="72">
        <f t="shared" si="70"/>
        <v>0.2811354308359979</v>
      </c>
      <c r="AZ79" s="71">
        <f t="shared" si="63"/>
        <v>4774.2700000000041</v>
      </c>
      <c r="BA79" s="73">
        <f t="shared" si="71"/>
        <v>3.7640986555934522E-2</v>
      </c>
      <c r="BF79" t="s">
        <v>150</v>
      </c>
    </row>
    <row r="80" spans="1:58" x14ac:dyDescent="0.3">
      <c r="A80" s="25">
        <v>46220</v>
      </c>
      <c r="B80" s="25">
        <v>46233</v>
      </c>
      <c r="C80" s="10">
        <v>30</v>
      </c>
      <c r="D80" s="25">
        <f t="shared" si="49"/>
        <v>46263</v>
      </c>
      <c r="E80" s="26" t="s">
        <v>371</v>
      </c>
      <c r="F80" s="26">
        <v>576470</v>
      </c>
      <c r="G80" s="26" t="s">
        <v>174</v>
      </c>
      <c r="H80" s="26" t="s">
        <v>179</v>
      </c>
      <c r="I80" s="26" t="s">
        <v>368</v>
      </c>
      <c r="J80" s="23" t="s">
        <v>369</v>
      </c>
      <c r="K80" s="27" t="s">
        <v>44</v>
      </c>
      <c r="L80" s="26" t="s">
        <v>370</v>
      </c>
      <c r="M80" s="26" t="s">
        <v>32</v>
      </c>
      <c r="N80" s="39">
        <v>1800</v>
      </c>
      <c r="O80" s="26">
        <v>22</v>
      </c>
      <c r="P80" s="28">
        <v>39600</v>
      </c>
      <c r="Q80" s="20">
        <v>1.8</v>
      </c>
      <c r="R80" s="20">
        <f t="shared" si="32"/>
        <v>71280</v>
      </c>
      <c r="S80" s="20">
        <v>0.05</v>
      </c>
      <c r="T80" s="20">
        <f t="shared" si="33"/>
        <v>1980</v>
      </c>
      <c r="U80" s="26" t="s">
        <v>320</v>
      </c>
      <c r="V80" s="23" t="s">
        <v>526</v>
      </c>
      <c r="W80" s="20">
        <v>8500</v>
      </c>
      <c r="X80" s="29">
        <f>W80/P80</f>
        <v>0.21464646464646464</v>
      </c>
      <c r="Y80" s="29">
        <f t="shared" si="61"/>
        <v>0</v>
      </c>
      <c r="Z80" s="20">
        <v>0</v>
      </c>
      <c r="AA80" s="29" t="s">
        <v>26</v>
      </c>
      <c r="AB80" s="26" t="s">
        <v>26</v>
      </c>
      <c r="AC80" s="20">
        <f t="shared" si="62"/>
        <v>81761</v>
      </c>
      <c r="AD80" s="71">
        <v>1</v>
      </c>
      <c r="AE80" s="1"/>
      <c r="AF80" s="29">
        <f t="shared" si="52"/>
        <v>2.0646717171717173</v>
      </c>
      <c r="AG80" s="142">
        <v>46234</v>
      </c>
      <c r="AH80" s="25">
        <v>46238</v>
      </c>
      <c r="AI80" s="120">
        <v>30</v>
      </c>
      <c r="AJ80" s="142">
        <f t="shared" si="75"/>
        <v>46264</v>
      </c>
      <c r="AK80" s="56">
        <f ca="1">TODAY()-AJ80</f>
        <v>-3</v>
      </c>
      <c r="AL80" s="95">
        <v>10035</v>
      </c>
      <c r="AM80" s="95" t="s">
        <v>42</v>
      </c>
      <c r="AN80" s="95" t="s">
        <v>35</v>
      </c>
      <c r="AO80" s="57">
        <v>401191</v>
      </c>
      <c r="AP80" s="49">
        <v>1060</v>
      </c>
      <c r="AQ80" s="20">
        <v>2.5</v>
      </c>
      <c r="AR80" s="20">
        <f t="shared" si="53"/>
        <v>99000</v>
      </c>
      <c r="AS80" s="55"/>
      <c r="AT80" s="16"/>
      <c r="AU80" s="106"/>
      <c r="AV80" s="11">
        <f>AU80-AR80</f>
        <v>-99000</v>
      </c>
      <c r="AW80" s="11"/>
      <c r="AX80" s="11">
        <f t="shared" si="55"/>
        <v>0</v>
      </c>
      <c r="AY80" s="13">
        <f t="shared" si="70"/>
        <v>0.43532828282828273</v>
      </c>
      <c r="AZ80" s="11">
        <f t="shared" si="63"/>
        <v>17239</v>
      </c>
      <c r="BA80" s="17">
        <f t="shared" si="71"/>
        <v>0.21084624698817278</v>
      </c>
    </row>
    <row r="81" spans="1:53" x14ac:dyDescent="0.3">
      <c r="A81" s="25">
        <v>46233</v>
      </c>
      <c r="B81" s="25">
        <v>46233</v>
      </c>
      <c r="C81" s="26">
        <v>14</v>
      </c>
      <c r="D81" s="115">
        <f>C81+B81</f>
        <v>46247</v>
      </c>
      <c r="E81" s="112" t="s">
        <v>495</v>
      </c>
      <c r="F81" s="112">
        <v>28498</v>
      </c>
      <c r="G81" s="112" t="s">
        <v>76</v>
      </c>
      <c r="H81" s="112" t="s">
        <v>491</v>
      </c>
      <c r="I81" s="112" t="s">
        <v>230</v>
      </c>
      <c r="J81" s="113" t="s">
        <v>504</v>
      </c>
      <c r="K81" s="122" t="s">
        <v>496</v>
      </c>
      <c r="L81" s="112" t="s">
        <v>497</v>
      </c>
      <c r="M81" s="112" t="s">
        <v>497</v>
      </c>
      <c r="N81" s="123">
        <v>4</v>
      </c>
      <c r="O81" s="112">
        <v>80</v>
      </c>
      <c r="P81" s="124">
        <v>306</v>
      </c>
      <c r="Q81" s="71">
        <v>6.35</v>
      </c>
      <c r="R81" s="71">
        <f t="shared" si="32"/>
        <v>1943.1</v>
      </c>
      <c r="S81" s="20">
        <v>0.05</v>
      </c>
      <c r="T81" s="20">
        <f t="shared" si="33"/>
        <v>15.3</v>
      </c>
      <c r="U81" s="26" t="s">
        <v>26</v>
      </c>
      <c r="V81" s="23" t="s">
        <v>26</v>
      </c>
      <c r="W81" s="20">
        <f>X81*P81</f>
        <v>0</v>
      </c>
      <c r="X81" s="29">
        <v>0</v>
      </c>
      <c r="Y81" s="29">
        <f t="shared" si="61"/>
        <v>0</v>
      </c>
      <c r="Z81" s="20"/>
      <c r="AA81" s="29" t="s">
        <v>26</v>
      </c>
      <c r="AB81" s="26"/>
      <c r="AC81" s="20">
        <f t="shared" si="62"/>
        <v>1958.8999999999999</v>
      </c>
      <c r="AD81" s="71">
        <v>0.5</v>
      </c>
      <c r="AE81" s="1"/>
      <c r="AF81" s="29">
        <f t="shared" si="52"/>
        <v>6.401633986928104</v>
      </c>
      <c r="AG81" s="142">
        <v>46233</v>
      </c>
      <c r="AH81" s="115">
        <v>46234</v>
      </c>
      <c r="AI81" s="116">
        <v>21</v>
      </c>
      <c r="AJ81" s="117">
        <f>AI81+AG81</f>
        <v>46254</v>
      </c>
      <c r="AK81" s="116" t="s">
        <v>324</v>
      </c>
      <c r="AL81" s="112">
        <v>10057</v>
      </c>
      <c r="AM81" s="112" t="s">
        <v>498</v>
      </c>
      <c r="AN81" s="112" t="s">
        <v>301</v>
      </c>
      <c r="AO81" s="118" t="s">
        <v>499</v>
      </c>
      <c r="AP81" s="112">
        <v>1059</v>
      </c>
      <c r="AQ81" s="71">
        <v>7</v>
      </c>
      <c r="AR81" s="71">
        <f t="shared" si="53"/>
        <v>2142</v>
      </c>
      <c r="AS81" s="111">
        <v>46259</v>
      </c>
      <c r="AT81" s="113">
        <v>235215</v>
      </c>
      <c r="AU81" s="83">
        <v>2142</v>
      </c>
      <c r="AV81" s="71">
        <f>AU81-AR81</f>
        <v>0</v>
      </c>
      <c r="AW81" s="11"/>
      <c r="AX81" s="11">
        <f t="shared" si="55"/>
        <v>2142</v>
      </c>
      <c r="AY81" s="13">
        <f t="shared" si="70"/>
        <v>0.59836601307189596</v>
      </c>
      <c r="AZ81" s="11">
        <f t="shared" si="63"/>
        <v>183.10000000000014</v>
      </c>
      <c r="BA81" s="17">
        <f t="shared" si="71"/>
        <v>9.3470825463270291E-2</v>
      </c>
    </row>
    <row r="82" spans="1:53" ht="15" thickBot="1" x14ac:dyDescent="0.35">
      <c r="A82" s="101"/>
      <c r="B82" s="101"/>
      <c r="C82" s="18"/>
      <c r="D82" s="18"/>
      <c r="E82" s="18"/>
      <c r="F82" s="18" t="s">
        <v>710</v>
      </c>
      <c r="G82" s="18"/>
      <c r="H82" s="18"/>
      <c r="I82" s="18"/>
      <c r="J82" s="35"/>
      <c r="K82" s="104"/>
      <c r="L82" s="18"/>
      <c r="M82" s="18"/>
      <c r="N82" s="41"/>
      <c r="O82" s="18"/>
      <c r="P82" s="42"/>
      <c r="Q82" s="64"/>
      <c r="R82" s="64"/>
      <c r="S82" s="102"/>
      <c r="T82" s="64"/>
      <c r="U82" s="18"/>
      <c r="V82" s="35"/>
      <c r="W82" s="18"/>
      <c r="X82" s="18"/>
      <c r="Y82" s="18"/>
      <c r="Z82" s="64"/>
      <c r="AA82" s="18"/>
      <c r="AB82" s="18"/>
      <c r="AC82" s="102"/>
      <c r="AD82" s="64"/>
      <c r="AE82" s="64"/>
      <c r="AF82" s="102"/>
      <c r="AG82" s="19"/>
      <c r="AH82" s="101"/>
      <c r="AI82" s="18"/>
      <c r="AJ82" s="18"/>
      <c r="AK82" s="18"/>
      <c r="AL82" s="18"/>
      <c r="AM82" s="18"/>
      <c r="AN82" s="18"/>
      <c r="AO82" s="60"/>
      <c r="AP82" s="18"/>
      <c r="AQ82" s="18"/>
      <c r="AR82" s="18"/>
      <c r="AS82" s="53"/>
      <c r="AT82" s="35"/>
      <c r="AU82" s="146"/>
      <c r="AV82" s="18"/>
      <c r="AW82" s="18"/>
      <c r="AX82" s="18"/>
      <c r="AY82" s="18"/>
      <c r="AZ82" s="18"/>
      <c r="BA82" s="18"/>
    </row>
    <row r="83" spans="1:53" ht="15" thickBot="1" x14ac:dyDescent="0.35">
      <c r="M83" s="6"/>
      <c r="N83" s="40"/>
      <c r="O83" s="6"/>
      <c r="P83" s="21">
        <f>SUM(P22:P82)</f>
        <v>127755.18</v>
      </c>
      <c r="Q83" s="5"/>
      <c r="R83" s="5">
        <f>SUM(R22:R82)</f>
        <v>721168.05</v>
      </c>
      <c r="S83" s="5"/>
      <c r="T83" s="5">
        <f>SUM(T22:T82)</f>
        <v>6387.759</v>
      </c>
      <c r="U83" s="5"/>
      <c r="V83" s="36"/>
      <c r="W83" s="5">
        <f>SUM(W22:W82)</f>
        <v>16625.327989900001</v>
      </c>
      <c r="X83" s="5"/>
      <c r="Y83" s="5">
        <f>SUM(Y22:Y81)</f>
        <v>13308.60782135</v>
      </c>
      <c r="Z83" s="5"/>
      <c r="AA83" s="5"/>
      <c r="AB83" s="6"/>
      <c r="AC83" s="5">
        <f>SUM(AC22:AC82)</f>
        <v>756704.63481125003</v>
      </c>
      <c r="AD83" s="1">
        <f>SUM(AD22:AD82)</f>
        <v>381.28999999999996</v>
      </c>
      <c r="AE83" s="6"/>
      <c r="AF83" s="6"/>
      <c r="AG83" s="6"/>
      <c r="AH83" s="6"/>
      <c r="AI83" s="6"/>
      <c r="AJ83" s="6"/>
      <c r="AK83" s="6"/>
      <c r="AL83" s="6"/>
      <c r="AM83" s="6"/>
      <c r="AN83" s="61"/>
      <c r="AO83" s="6"/>
      <c r="AP83" s="6"/>
      <c r="AQ83" s="5"/>
      <c r="AR83" s="5">
        <f>SUM(AR22:AR82)</f>
        <v>809281.30550000002</v>
      </c>
      <c r="AS83" s="6"/>
      <c r="AT83" s="5"/>
      <c r="AU83" s="5">
        <f>SUM(AU22:AU82)</f>
        <v>701489.9</v>
      </c>
      <c r="AV83" s="5">
        <f>SUM(AV22:AV82)</f>
        <v>-106647.07549999999</v>
      </c>
      <c r="AW83" s="5">
        <f>SUM(AW22:AW82)</f>
        <v>1144.33</v>
      </c>
      <c r="AX83" s="5">
        <f>SUM(AX22:AX82)</f>
        <v>701489.9</v>
      </c>
      <c r="AY83" s="5"/>
      <c r="AZ83" s="5">
        <f>SUM(AZ22:AZ82)</f>
        <v>51432.340688750002</v>
      </c>
      <c r="BA83" s="22">
        <f>AZ83/AC83</f>
        <v>6.7968845864911503E-2</v>
      </c>
    </row>
    <row r="84" spans="1:53" ht="15" thickBot="1" x14ac:dyDescent="0.35">
      <c r="J84"/>
      <c r="P84" s="209" t="s">
        <v>236</v>
      </c>
      <c r="Q84" s="210"/>
      <c r="R84" s="47" cm="1">
        <f t="array" ref="R84:R86">(R83-R24-R25-R27-R28-R29-R30-R26 -R35-R67-R77-R76-R31-R34-R38-R40-R41-R42-R43-R48-R57-R64-R32-R22-R23:R25-R49-R50-R51-R52-R33-R36-R37-R39-R44-R45-R46-R53-R54-R55-R56-R58-R60-R59-R61-R63-R65-R66-R70-R71-R78-R79-R47-R62-R72-R74-R81-R75-R68-R69-R73)</f>
        <v>71280.000000000102</v>
      </c>
      <c r="T84" s="33">
        <f>T83+T14</f>
        <v>8574.7805000000008</v>
      </c>
      <c r="V84" s="74" t="s">
        <v>236</v>
      </c>
      <c r="W84" s="47">
        <f>W83-W80-W24-W25-W26+5000</f>
        <v>11147.964439900001</v>
      </c>
      <c r="X84" s="48"/>
      <c r="Y84" s="47">
        <f>Y83-Y23-Y24-Y25-Y27-Y32-Y34-Y35-Y36</f>
        <v>12133.187821349999</v>
      </c>
      <c r="AC84" s="1">
        <f>AC83-T83</f>
        <v>750316.87581125007</v>
      </c>
    </row>
    <row r="85" spans="1:53" x14ac:dyDescent="0.3">
      <c r="R85" s="1">
        <v>70592.500000000102</v>
      </c>
      <c r="AY85" s="97"/>
    </row>
    <row r="86" spans="1:53" x14ac:dyDescent="0.3">
      <c r="J86"/>
      <c r="R86" s="1">
        <v>71817.187500000102</v>
      </c>
    </row>
    <row r="87" spans="1:53" x14ac:dyDescent="0.3">
      <c r="G87" t="s">
        <v>150</v>
      </c>
      <c r="AM87" s="58"/>
    </row>
    <row r="90" spans="1:53" ht="15" thickBot="1" x14ac:dyDescent="0.35">
      <c r="A90" s="32" t="s">
        <v>548</v>
      </c>
      <c r="D90" t="s">
        <v>171</v>
      </c>
    </row>
    <row r="91" spans="1:53" ht="72.599999999999994" thickBot="1" x14ac:dyDescent="0.35">
      <c r="A91" s="7" t="s">
        <v>11</v>
      </c>
      <c r="B91" s="8" t="s">
        <v>47</v>
      </c>
      <c r="C91" s="8" t="s">
        <v>1</v>
      </c>
      <c r="D91" s="8" t="s">
        <v>22</v>
      </c>
      <c r="E91" s="8" t="s">
        <v>4</v>
      </c>
      <c r="F91" s="8" t="s">
        <v>37</v>
      </c>
      <c r="G91" s="8" t="s">
        <v>39</v>
      </c>
      <c r="H91" s="8" t="s">
        <v>8</v>
      </c>
      <c r="I91" s="8" t="s">
        <v>9</v>
      </c>
      <c r="J91" s="8" t="s">
        <v>28</v>
      </c>
      <c r="K91" s="8" t="s">
        <v>6</v>
      </c>
      <c r="L91" s="62" t="s">
        <v>17</v>
      </c>
      <c r="M91" s="62" t="s">
        <v>7</v>
      </c>
      <c r="N91" s="62" t="s">
        <v>38</v>
      </c>
      <c r="O91" s="8" t="s">
        <v>469</v>
      </c>
      <c r="P91" s="8" t="s">
        <v>52</v>
      </c>
      <c r="Q91" s="8" t="s">
        <v>49</v>
      </c>
      <c r="R91" s="8" t="s">
        <v>138</v>
      </c>
      <c r="S91" s="8" t="s">
        <v>139</v>
      </c>
      <c r="T91" s="8" t="s">
        <v>470</v>
      </c>
      <c r="U91" s="8" t="s">
        <v>138</v>
      </c>
      <c r="V91" s="8" t="s">
        <v>472</v>
      </c>
      <c r="W91" s="8" t="s">
        <v>471</v>
      </c>
      <c r="X91" s="8" t="s">
        <v>16</v>
      </c>
      <c r="Y91" s="62" t="s">
        <v>105</v>
      </c>
      <c r="Z91" s="8" t="s">
        <v>518</v>
      </c>
      <c r="AA91" s="8" t="s">
        <v>473</v>
      </c>
      <c r="AB91" s="8" t="s">
        <v>474</v>
      </c>
      <c r="AC91" s="8" t="s">
        <v>477</v>
      </c>
      <c r="AD91" s="8" t="s">
        <v>478</v>
      </c>
      <c r="AE91" s="8" t="s">
        <v>475</v>
      </c>
      <c r="AF91" s="8" t="s">
        <v>476</v>
      </c>
      <c r="AG91" s="8" t="s">
        <v>639</v>
      </c>
      <c r="AH91" s="8" t="s">
        <v>479</v>
      </c>
      <c r="AI91" s="8" t="s">
        <v>640</v>
      </c>
      <c r="AJ91" s="8" t="s">
        <v>267</v>
      </c>
      <c r="AK91" s="8" t="s">
        <v>25</v>
      </c>
      <c r="AL91" s="8" t="s">
        <v>24</v>
      </c>
      <c r="AM91" s="9" t="s">
        <v>15</v>
      </c>
      <c r="AN91"/>
      <c r="AR91"/>
    </row>
    <row r="92" spans="1:53" x14ac:dyDescent="0.3">
      <c r="A92" s="25">
        <v>46237</v>
      </c>
      <c r="B92" s="24">
        <v>46241</v>
      </c>
      <c r="C92" s="26">
        <v>14</v>
      </c>
      <c r="D92" s="24">
        <f t="shared" ref="D92:D103" si="76">C92+B92</f>
        <v>46255</v>
      </c>
      <c r="E92" s="26" t="s">
        <v>508</v>
      </c>
      <c r="F92" s="26">
        <v>28562</v>
      </c>
      <c r="G92" s="26" t="s">
        <v>76</v>
      </c>
      <c r="H92" s="26" t="s">
        <v>77</v>
      </c>
      <c r="I92" s="26" t="s">
        <v>230</v>
      </c>
      <c r="J92" s="23" t="s">
        <v>502</v>
      </c>
      <c r="K92" s="28">
        <v>566.9</v>
      </c>
      <c r="L92" s="20">
        <v>8.75</v>
      </c>
      <c r="M92" s="20">
        <f t="shared" ref="M92:M103" si="77">L92*K92</f>
        <v>4960.375</v>
      </c>
      <c r="N92" s="20">
        <f t="shared" ref="N92:N99" si="78">0.05*K92</f>
        <v>28.344999999999999</v>
      </c>
      <c r="O92" s="26" t="s">
        <v>157</v>
      </c>
      <c r="P92" s="23">
        <v>105418</v>
      </c>
      <c r="Q92" s="20">
        <v>338.67</v>
      </c>
      <c r="R92" s="29" t="s">
        <v>26</v>
      </c>
      <c r="S92" s="26" t="s">
        <v>26</v>
      </c>
      <c r="T92" s="29">
        <v>0</v>
      </c>
      <c r="U92" s="29" t="s">
        <v>26</v>
      </c>
      <c r="V92" s="26" t="s">
        <v>26</v>
      </c>
      <c r="W92" s="29">
        <v>0</v>
      </c>
      <c r="X92" s="13">
        <f t="shared" ref="X92:X103" si="79">W92+T92+Q92+N92+M92+Y92</f>
        <v>5327.39</v>
      </c>
      <c r="Y92" s="11">
        <v>0</v>
      </c>
      <c r="Z92" s="11">
        <f t="shared" ref="Z92:Z103" si="80">X92/K92</f>
        <v>9.3974069500793806</v>
      </c>
      <c r="AA92" s="24">
        <v>46241</v>
      </c>
      <c r="AB92" s="247">
        <v>10058</v>
      </c>
      <c r="AC92" s="248">
        <v>566.9</v>
      </c>
      <c r="AD92" s="248">
        <f t="shared" ref="AD92:AD98" si="81">AC92-K92</f>
        <v>0</v>
      </c>
      <c r="AE92" s="201">
        <v>12</v>
      </c>
      <c r="AF92" s="201">
        <f>K92*AE92</f>
        <v>6802.7999999999993</v>
      </c>
      <c r="AG92" s="10"/>
      <c r="AH92" s="11">
        <v>0</v>
      </c>
      <c r="AI92" s="11">
        <f t="shared" ref="AI92:AI134" si="82">AG92-AF92+AJ92</f>
        <v>-6802.7999999999993</v>
      </c>
      <c r="AJ92" s="11"/>
      <c r="AK92" s="13">
        <f t="shared" ref="AK92:AK109" si="83">AE92-Z92</f>
        <v>2.6025930499206194</v>
      </c>
      <c r="AL92" s="11">
        <f t="shared" ref="AL92:AL134" si="84">AK92*AC92</f>
        <v>1475.4099999999989</v>
      </c>
      <c r="AM92" s="17">
        <f t="shared" ref="AM92:AM114" si="85">AL92/X92</f>
        <v>0.27694799892630328</v>
      </c>
      <c r="AN92"/>
      <c r="AR92"/>
    </row>
    <row r="93" spans="1:53" x14ac:dyDescent="0.3">
      <c r="A93" s="25">
        <v>46238</v>
      </c>
      <c r="B93" s="25">
        <v>46238</v>
      </c>
      <c r="C93" s="26">
        <v>14</v>
      </c>
      <c r="D93" s="24">
        <f t="shared" si="76"/>
        <v>46252</v>
      </c>
      <c r="E93" s="26" t="s">
        <v>509</v>
      </c>
      <c r="F93" s="26">
        <v>28528</v>
      </c>
      <c r="G93" s="26" t="s">
        <v>76</v>
      </c>
      <c r="H93" s="26" t="s">
        <v>77</v>
      </c>
      <c r="I93" s="26" t="s">
        <v>230</v>
      </c>
      <c r="J93" s="23" t="s">
        <v>504</v>
      </c>
      <c r="K93" s="28">
        <v>249.85</v>
      </c>
      <c r="L93" s="20">
        <v>5.75</v>
      </c>
      <c r="M93" s="20">
        <f t="shared" si="77"/>
        <v>1436.6375</v>
      </c>
      <c r="N93" s="20">
        <f t="shared" si="78"/>
        <v>12.4925</v>
      </c>
      <c r="O93" s="26" t="s">
        <v>26</v>
      </c>
      <c r="P93" s="23" t="s">
        <v>26</v>
      </c>
      <c r="Q93" s="20">
        <v>0</v>
      </c>
      <c r="R93" s="29" t="s">
        <v>88</v>
      </c>
      <c r="S93" s="26" t="s">
        <v>516</v>
      </c>
      <c r="T93" s="29">
        <f>0.947*250</f>
        <v>236.75</v>
      </c>
      <c r="U93" s="29" t="s">
        <v>26</v>
      </c>
      <c r="V93" s="26" t="s">
        <v>26</v>
      </c>
      <c r="W93" s="29">
        <v>0</v>
      </c>
      <c r="X93" s="29">
        <f t="shared" si="79"/>
        <v>1685.88</v>
      </c>
      <c r="Y93" s="11">
        <v>0</v>
      </c>
      <c r="Z93" s="20">
        <f t="shared" si="80"/>
        <v>6.7475685411246751</v>
      </c>
      <c r="AA93" s="24">
        <v>46238</v>
      </c>
      <c r="AB93" s="247">
        <v>10059</v>
      </c>
      <c r="AC93" s="248">
        <v>249.85</v>
      </c>
      <c r="AD93" s="248">
        <f t="shared" si="81"/>
        <v>0</v>
      </c>
      <c r="AE93" s="201">
        <v>7.5</v>
      </c>
      <c r="AF93" s="201">
        <f>K93*AE93</f>
        <v>1873.875</v>
      </c>
      <c r="AG93" s="10"/>
      <c r="AH93" s="11">
        <v>0</v>
      </c>
      <c r="AI93" s="11">
        <f t="shared" si="82"/>
        <v>-1873.875</v>
      </c>
      <c r="AJ93" s="11"/>
      <c r="AK93" s="13">
        <f t="shared" si="83"/>
        <v>0.75243145887532492</v>
      </c>
      <c r="AL93" s="11">
        <f t="shared" si="84"/>
        <v>187.99499999999992</v>
      </c>
      <c r="AM93" s="17">
        <f t="shared" si="85"/>
        <v>0.11151149548010529</v>
      </c>
      <c r="AN93"/>
      <c r="AR93"/>
    </row>
    <row r="94" spans="1:53" x14ac:dyDescent="0.3">
      <c r="A94" s="25">
        <v>46238</v>
      </c>
      <c r="B94" s="25">
        <v>46238</v>
      </c>
      <c r="C94" s="26">
        <v>14</v>
      </c>
      <c r="D94" s="24">
        <f t="shared" si="76"/>
        <v>46252</v>
      </c>
      <c r="E94" s="26" t="s">
        <v>509</v>
      </c>
      <c r="F94" s="26">
        <v>28528</v>
      </c>
      <c r="G94" s="26" t="s">
        <v>76</v>
      </c>
      <c r="H94" s="26" t="s">
        <v>77</v>
      </c>
      <c r="I94" s="26" t="s">
        <v>230</v>
      </c>
      <c r="J94" s="23" t="s">
        <v>208</v>
      </c>
      <c r="K94" s="28">
        <v>201.8</v>
      </c>
      <c r="L94" s="20">
        <v>10.25</v>
      </c>
      <c r="M94" s="20">
        <f t="shared" si="77"/>
        <v>2068.4500000000003</v>
      </c>
      <c r="N94" s="20">
        <f t="shared" si="78"/>
        <v>10.090000000000002</v>
      </c>
      <c r="O94" s="26" t="s">
        <v>26</v>
      </c>
      <c r="P94" s="23" t="s">
        <v>26</v>
      </c>
      <c r="Q94" s="20">
        <v>0</v>
      </c>
      <c r="R94" s="29" t="s">
        <v>88</v>
      </c>
      <c r="S94" s="26" t="s">
        <v>516</v>
      </c>
      <c r="T94" s="29">
        <f>0.947*202</f>
        <v>191.29399999999998</v>
      </c>
      <c r="U94" s="29" t="s">
        <v>26</v>
      </c>
      <c r="V94" s="26" t="s">
        <v>26</v>
      </c>
      <c r="W94" s="29">
        <v>0</v>
      </c>
      <c r="X94" s="29">
        <f t="shared" si="79"/>
        <v>2269.8340000000003</v>
      </c>
      <c r="Y94" s="11">
        <v>0</v>
      </c>
      <c r="Z94" s="20">
        <f t="shared" si="80"/>
        <v>11.247938553022795</v>
      </c>
      <c r="AA94" s="24">
        <v>46238</v>
      </c>
      <c r="AB94" s="247">
        <v>10059</v>
      </c>
      <c r="AC94" s="248">
        <v>201.8</v>
      </c>
      <c r="AD94" s="248">
        <f t="shared" si="81"/>
        <v>0</v>
      </c>
      <c r="AE94" s="201">
        <v>12.25</v>
      </c>
      <c r="AF94" s="201">
        <f>AE94*K94</f>
        <v>2472.0500000000002</v>
      </c>
      <c r="AG94" s="10"/>
      <c r="AH94" s="11">
        <v>0</v>
      </c>
      <c r="AI94" s="11">
        <f t="shared" si="82"/>
        <v>-2472.0500000000002</v>
      </c>
      <c r="AJ94" s="11"/>
      <c r="AK94" s="13">
        <f t="shared" si="83"/>
        <v>1.0020614469772049</v>
      </c>
      <c r="AL94" s="11">
        <f t="shared" si="84"/>
        <v>202.21599999999995</v>
      </c>
      <c r="AM94" s="17">
        <f t="shared" si="85"/>
        <v>8.9088453164416395E-2</v>
      </c>
      <c r="AN94"/>
      <c r="AR94"/>
    </row>
    <row r="95" spans="1:53" x14ac:dyDescent="0.3">
      <c r="A95" s="25">
        <v>46238</v>
      </c>
      <c r="B95" s="25">
        <v>46238</v>
      </c>
      <c r="C95" s="26">
        <v>14</v>
      </c>
      <c r="D95" s="24">
        <f t="shared" si="76"/>
        <v>46252</v>
      </c>
      <c r="E95" s="26" t="s">
        <v>511</v>
      </c>
      <c r="F95" s="26">
        <v>28553</v>
      </c>
      <c r="G95" s="26" t="s">
        <v>76</v>
      </c>
      <c r="H95" s="26" t="s">
        <v>77</v>
      </c>
      <c r="I95" s="26" t="s">
        <v>230</v>
      </c>
      <c r="J95" s="23" t="s">
        <v>504</v>
      </c>
      <c r="K95" s="28">
        <v>1412.4</v>
      </c>
      <c r="L95" s="20">
        <v>5.75</v>
      </c>
      <c r="M95" s="20">
        <f t="shared" si="77"/>
        <v>8121.3</v>
      </c>
      <c r="N95" s="20">
        <f t="shared" si="78"/>
        <v>70.62</v>
      </c>
      <c r="O95" s="26" t="s">
        <v>135</v>
      </c>
      <c r="P95" s="23">
        <v>105418</v>
      </c>
      <c r="Q95" s="20">
        <v>843.77</v>
      </c>
      <c r="R95" s="29" t="s">
        <v>26</v>
      </c>
      <c r="S95" s="26" t="s">
        <v>26</v>
      </c>
      <c r="T95" s="29">
        <v>0</v>
      </c>
      <c r="U95" s="29" t="s">
        <v>26</v>
      </c>
      <c r="V95" s="26" t="s">
        <v>26</v>
      </c>
      <c r="W95" s="29">
        <v>0</v>
      </c>
      <c r="X95" s="13">
        <f t="shared" si="79"/>
        <v>9035.69</v>
      </c>
      <c r="Y95" s="11">
        <v>0</v>
      </c>
      <c r="Z95" s="11">
        <f t="shared" si="80"/>
        <v>6.3974015859529878</v>
      </c>
      <c r="AA95" s="24">
        <v>46241</v>
      </c>
      <c r="AB95" s="247">
        <v>10058</v>
      </c>
      <c r="AC95" s="248">
        <v>1412.4</v>
      </c>
      <c r="AD95" s="248">
        <f t="shared" si="81"/>
        <v>0</v>
      </c>
      <c r="AE95" s="201">
        <v>7.35</v>
      </c>
      <c r="AF95" s="201">
        <f t="shared" ref="AF95:AF98" si="86">AE95*K95</f>
        <v>10381.14</v>
      </c>
      <c r="AG95" s="10"/>
      <c r="AH95" s="11">
        <v>0</v>
      </c>
      <c r="AI95" s="11">
        <f t="shared" si="82"/>
        <v>-10381.14</v>
      </c>
      <c r="AJ95" s="11"/>
      <c r="AK95" s="13">
        <f t="shared" si="83"/>
        <v>0.95259841404701184</v>
      </c>
      <c r="AL95" s="11">
        <f t="shared" si="84"/>
        <v>1345.4499999999996</v>
      </c>
      <c r="AM95" s="17">
        <f t="shared" si="85"/>
        <v>0.14890395752842334</v>
      </c>
      <c r="AN95"/>
      <c r="AR95"/>
    </row>
    <row r="96" spans="1:53" x14ac:dyDescent="0.3">
      <c r="A96" s="25">
        <v>46238</v>
      </c>
      <c r="B96" s="25">
        <v>46238</v>
      </c>
      <c r="C96" s="26">
        <v>14</v>
      </c>
      <c r="D96" s="24">
        <f t="shared" si="76"/>
        <v>46252</v>
      </c>
      <c r="E96" s="26" t="s">
        <v>510</v>
      </c>
      <c r="F96" s="26">
        <v>28552</v>
      </c>
      <c r="G96" s="26" t="s">
        <v>76</v>
      </c>
      <c r="H96" s="26" t="s">
        <v>77</v>
      </c>
      <c r="I96" s="26" t="s">
        <v>230</v>
      </c>
      <c r="J96" s="23" t="s">
        <v>504</v>
      </c>
      <c r="K96" s="28">
        <v>732</v>
      </c>
      <c r="L96" s="20">
        <v>5.95</v>
      </c>
      <c r="M96" s="20">
        <f t="shared" si="77"/>
        <v>4355.4000000000005</v>
      </c>
      <c r="N96" s="20">
        <f t="shared" si="78"/>
        <v>36.6</v>
      </c>
      <c r="O96" s="26" t="s">
        <v>135</v>
      </c>
      <c r="P96" s="23">
        <v>105418</v>
      </c>
      <c r="Q96" s="20">
        <v>437.01</v>
      </c>
      <c r="R96" s="29" t="s">
        <v>26</v>
      </c>
      <c r="S96" s="26" t="s">
        <v>26</v>
      </c>
      <c r="T96" s="29">
        <v>0</v>
      </c>
      <c r="U96" s="29" t="s">
        <v>26</v>
      </c>
      <c r="V96" s="26" t="s">
        <v>26</v>
      </c>
      <c r="W96" s="29">
        <v>0</v>
      </c>
      <c r="X96" s="13">
        <f t="shared" si="79"/>
        <v>4829.01</v>
      </c>
      <c r="Y96" s="11">
        <v>0</v>
      </c>
      <c r="Z96" s="11">
        <f t="shared" si="80"/>
        <v>6.5970081967213119</v>
      </c>
      <c r="AA96" s="24">
        <v>46241</v>
      </c>
      <c r="AB96" s="247">
        <v>10058</v>
      </c>
      <c r="AC96" s="248">
        <v>732</v>
      </c>
      <c r="AD96" s="248">
        <f t="shared" si="81"/>
        <v>0</v>
      </c>
      <c r="AE96" s="201">
        <v>7.35</v>
      </c>
      <c r="AF96" s="201">
        <f t="shared" si="86"/>
        <v>5380.2</v>
      </c>
      <c r="AG96" s="10"/>
      <c r="AH96" s="11">
        <v>0</v>
      </c>
      <c r="AI96" s="11">
        <f t="shared" si="82"/>
        <v>-5380.2</v>
      </c>
      <c r="AJ96" s="11"/>
      <c r="AK96" s="13">
        <f t="shared" si="83"/>
        <v>0.75299180327868775</v>
      </c>
      <c r="AL96" s="11">
        <f t="shared" si="84"/>
        <v>551.18999999999949</v>
      </c>
      <c r="AM96" s="17">
        <f t="shared" si="85"/>
        <v>0.11414140786620849</v>
      </c>
      <c r="AN96"/>
      <c r="AR96"/>
    </row>
    <row r="97" spans="1:44" x14ac:dyDescent="0.3">
      <c r="A97" s="25">
        <v>46238</v>
      </c>
      <c r="B97" s="25">
        <v>46240</v>
      </c>
      <c r="C97" s="26">
        <v>21</v>
      </c>
      <c r="D97" s="24">
        <f t="shared" si="76"/>
        <v>46261</v>
      </c>
      <c r="E97" s="26" t="s">
        <v>512</v>
      </c>
      <c r="F97" s="26">
        <v>44219</v>
      </c>
      <c r="G97" s="26" t="s">
        <v>182</v>
      </c>
      <c r="H97" s="26" t="s">
        <v>513</v>
      </c>
      <c r="I97" s="26" t="s">
        <v>184</v>
      </c>
      <c r="J97" s="23" t="s">
        <v>180</v>
      </c>
      <c r="K97" s="28">
        <v>250</v>
      </c>
      <c r="L97" s="20">
        <v>8.25</v>
      </c>
      <c r="M97" s="20">
        <f t="shared" si="77"/>
        <v>2062.5</v>
      </c>
      <c r="N97" s="20">
        <f t="shared" si="78"/>
        <v>12.5</v>
      </c>
      <c r="O97" s="26" t="s">
        <v>26</v>
      </c>
      <c r="P97" s="23" t="s">
        <v>26</v>
      </c>
      <c r="Q97" s="20">
        <v>0</v>
      </c>
      <c r="R97" s="29" t="s">
        <v>26</v>
      </c>
      <c r="S97" s="26" t="s">
        <v>26</v>
      </c>
      <c r="T97" s="29">
        <v>0</v>
      </c>
      <c r="U97" s="29" t="s">
        <v>26</v>
      </c>
      <c r="V97" s="26" t="s">
        <v>26</v>
      </c>
      <c r="W97" s="29">
        <v>0</v>
      </c>
      <c r="X97" s="29">
        <f t="shared" si="79"/>
        <v>2075</v>
      </c>
      <c r="Y97" s="11">
        <v>0</v>
      </c>
      <c r="Z97" s="20">
        <f t="shared" si="80"/>
        <v>8.3000000000000007</v>
      </c>
      <c r="AA97" s="24">
        <v>46241</v>
      </c>
      <c r="AB97" s="26">
        <v>10060</v>
      </c>
      <c r="AC97" s="28">
        <v>250</v>
      </c>
      <c r="AD97" s="28">
        <f t="shared" si="81"/>
        <v>0</v>
      </c>
      <c r="AE97" s="1">
        <v>10.25</v>
      </c>
      <c r="AF97" s="20">
        <f t="shared" si="86"/>
        <v>2562.5</v>
      </c>
      <c r="AG97" s="10"/>
      <c r="AH97" s="11">
        <v>0</v>
      </c>
      <c r="AI97" s="11">
        <f t="shared" si="82"/>
        <v>-2562.5</v>
      </c>
      <c r="AJ97" s="11"/>
      <c r="AK97" s="13">
        <f t="shared" si="83"/>
        <v>1.9499999999999993</v>
      </c>
      <c r="AL97" s="11">
        <f t="shared" si="84"/>
        <v>487.49999999999983</v>
      </c>
      <c r="AM97" s="17">
        <f t="shared" si="85"/>
        <v>0.2349397590361445</v>
      </c>
      <c r="AN97"/>
      <c r="AR97"/>
    </row>
    <row r="98" spans="1:44" x14ac:dyDescent="0.3">
      <c r="A98" s="25">
        <v>46238</v>
      </c>
      <c r="B98" s="25">
        <v>46240</v>
      </c>
      <c r="C98" s="26">
        <v>21</v>
      </c>
      <c r="D98" s="24">
        <f t="shared" si="76"/>
        <v>46261</v>
      </c>
      <c r="E98" s="26" t="s">
        <v>517</v>
      </c>
      <c r="F98" s="26">
        <v>44224</v>
      </c>
      <c r="G98" s="26" t="s">
        <v>182</v>
      </c>
      <c r="H98" s="26" t="s">
        <v>513</v>
      </c>
      <c r="I98" s="26" t="s">
        <v>184</v>
      </c>
      <c r="J98" s="23" t="s">
        <v>180</v>
      </c>
      <c r="K98" s="28">
        <v>750</v>
      </c>
      <c r="L98" s="20">
        <v>8.25</v>
      </c>
      <c r="M98" s="20">
        <f t="shared" si="77"/>
        <v>6187.5</v>
      </c>
      <c r="N98" s="20">
        <f t="shared" si="78"/>
        <v>37.5</v>
      </c>
      <c r="O98" s="26" t="s">
        <v>26</v>
      </c>
      <c r="P98" s="23" t="s">
        <v>26</v>
      </c>
      <c r="Q98" s="20">
        <v>0</v>
      </c>
      <c r="R98" s="29" t="s">
        <v>26</v>
      </c>
      <c r="S98" s="26" t="s">
        <v>26</v>
      </c>
      <c r="T98" s="29">
        <v>0</v>
      </c>
      <c r="U98" s="29" t="s">
        <v>26</v>
      </c>
      <c r="V98" s="26" t="s">
        <v>26</v>
      </c>
      <c r="W98" s="20">
        <v>0</v>
      </c>
      <c r="X98" s="29">
        <f t="shared" si="79"/>
        <v>6225</v>
      </c>
      <c r="Y98" s="11">
        <v>0</v>
      </c>
      <c r="Z98" s="20">
        <f t="shared" si="80"/>
        <v>8.3000000000000007</v>
      </c>
      <c r="AA98" s="24">
        <v>46240</v>
      </c>
      <c r="AB98" s="26">
        <v>10061</v>
      </c>
      <c r="AC98" s="28">
        <v>750</v>
      </c>
      <c r="AD98" s="28">
        <f t="shared" si="81"/>
        <v>0</v>
      </c>
      <c r="AE98" s="1">
        <v>9.25</v>
      </c>
      <c r="AF98" s="20">
        <f t="shared" si="86"/>
        <v>6937.5</v>
      </c>
      <c r="AG98" s="10"/>
      <c r="AH98" s="11">
        <v>0</v>
      </c>
      <c r="AI98" s="11">
        <f t="shared" si="82"/>
        <v>-6937.5</v>
      </c>
      <c r="AJ98" s="11"/>
      <c r="AK98" s="13">
        <f t="shared" si="83"/>
        <v>0.94999999999999929</v>
      </c>
      <c r="AL98" s="11">
        <f t="shared" si="84"/>
        <v>712.49999999999943</v>
      </c>
      <c r="AM98" s="17">
        <f t="shared" si="85"/>
        <v>0.11445783132530112</v>
      </c>
      <c r="AN98"/>
      <c r="AR98"/>
    </row>
    <row r="99" spans="1:44" x14ac:dyDescent="0.3">
      <c r="A99" s="25">
        <v>46241</v>
      </c>
      <c r="B99" s="25">
        <v>46241</v>
      </c>
      <c r="C99" s="26">
        <v>14</v>
      </c>
      <c r="D99" s="24">
        <f t="shared" si="76"/>
        <v>46255</v>
      </c>
      <c r="E99" s="26" t="s">
        <v>514</v>
      </c>
      <c r="F99" s="99" t="s">
        <v>544</v>
      </c>
      <c r="G99" s="99" t="s">
        <v>57</v>
      </c>
      <c r="H99" s="99" t="s">
        <v>59</v>
      </c>
      <c r="I99" s="99" t="s">
        <v>104</v>
      </c>
      <c r="J99" s="244" t="s">
        <v>109</v>
      </c>
      <c r="K99" s="245">
        <v>500.9</v>
      </c>
      <c r="L99" s="98">
        <v>12.15</v>
      </c>
      <c r="M99" s="98">
        <f t="shared" si="77"/>
        <v>6085.9349999999995</v>
      </c>
      <c r="N99" s="20">
        <f t="shared" si="78"/>
        <v>25.045000000000002</v>
      </c>
      <c r="O99" s="26" t="s">
        <v>523</v>
      </c>
      <c r="P99" s="16" t="s">
        <v>27</v>
      </c>
      <c r="Q99" s="11">
        <v>175</v>
      </c>
      <c r="R99" s="29" t="s">
        <v>88</v>
      </c>
      <c r="S99" s="26" t="s">
        <v>657</v>
      </c>
      <c r="T99" s="29">
        <v>489.04</v>
      </c>
      <c r="U99" s="29" t="s">
        <v>26</v>
      </c>
      <c r="V99" s="26" t="s">
        <v>26</v>
      </c>
      <c r="W99" s="20">
        <v>0</v>
      </c>
      <c r="X99" s="13">
        <f t="shared" si="79"/>
        <v>6790.0199999999995</v>
      </c>
      <c r="Y99" s="98">
        <v>15</v>
      </c>
      <c r="Z99" s="11">
        <f t="shared" si="80"/>
        <v>13.555639848273108</v>
      </c>
      <c r="AA99" s="4">
        <v>46242</v>
      </c>
      <c r="AB99" s="26">
        <v>10062</v>
      </c>
      <c r="AC99" s="30">
        <v>500.9</v>
      </c>
      <c r="AD99" s="28">
        <f t="shared" ref="AD99:AD120" si="87">AC99-K99</f>
        <v>0</v>
      </c>
      <c r="AE99" s="1">
        <v>13.85</v>
      </c>
      <c r="AF99" s="20">
        <f t="shared" ref="AF99:AF118" si="88">AE99*K99</f>
        <v>6937.4649999999992</v>
      </c>
      <c r="AG99" s="10"/>
      <c r="AH99" s="11">
        <f t="shared" ref="AH99:AH109" si="89">AE99*AC99</f>
        <v>6937.4649999999992</v>
      </c>
      <c r="AI99" s="11">
        <f t="shared" si="82"/>
        <v>-6937.4649999999992</v>
      </c>
      <c r="AJ99" s="11"/>
      <c r="AK99" s="13">
        <f t="shared" si="83"/>
        <v>0.29436015172689167</v>
      </c>
      <c r="AL99" s="11">
        <f t="shared" si="84"/>
        <v>147.44500000000002</v>
      </c>
      <c r="AM99" s="17">
        <f t="shared" si="85"/>
        <v>2.1714958129725691E-2</v>
      </c>
      <c r="AN99"/>
      <c r="AR99"/>
    </row>
    <row r="100" spans="1:44" x14ac:dyDescent="0.3">
      <c r="A100" s="25">
        <v>46240</v>
      </c>
      <c r="B100" s="25">
        <v>46241</v>
      </c>
      <c r="C100" s="26">
        <v>14</v>
      </c>
      <c r="D100" s="24">
        <f t="shared" si="76"/>
        <v>46255</v>
      </c>
      <c r="E100" s="26" t="s">
        <v>507</v>
      </c>
      <c r="F100" s="99">
        <v>977761</v>
      </c>
      <c r="G100" s="99" t="s">
        <v>446</v>
      </c>
      <c r="H100" s="99" t="s">
        <v>529</v>
      </c>
      <c r="I100" s="99" t="s">
        <v>104</v>
      </c>
      <c r="J100" s="185" t="s">
        <v>109</v>
      </c>
      <c r="K100" s="189">
        <v>557.5</v>
      </c>
      <c r="L100" s="187">
        <v>12.85</v>
      </c>
      <c r="M100" s="98">
        <f t="shared" si="77"/>
        <v>7163.875</v>
      </c>
      <c r="N100" s="20">
        <f t="shared" ref="N100:N103" si="90">0.05*K100</f>
        <v>27.875</v>
      </c>
      <c r="O100" s="26" t="s">
        <v>135</v>
      </c>
      <c r="P100" s="23">
        <v>105418</v>
      </c>
      <c r="Q100" s="20">
        <v>333.05</v>
      </c>
      <c r="R100" s="29" t="s">
        <v>26</v>
      </c>
      <c r="S100" s="26" t="s">
        <v>26</v>
      </c>
      <c r="T100" s="29">
        <v>0</v>
      </c>
      <c r="U100" s="29" t="s">
        <v>26</v>
      </c>
      <c r="V100" s="26" t="s">
        <v>26</v>
      </c>
      <c r="W100" s="20">
        <v>0</v>
      </c>
      <c r="X100" s="13">
        <f t="shared" si="79"/>
        <v>7536.05</v>
      </c>
      <c r="Y100" s="98">
        <v>11.25</v>
      </c>
      <c r="Z100" s="11">
        <f t="shared" si="80"/>
        <v>13.517578475336324</v>
      </c>
      <c r="AA100" s="4">
        <v>46242</v>
      </c>
      <c r="AB100" s="247">
        <v>10058</v>
      </c>
      <c r="AC100" s="248">
        <v>557.5</v>
      </c>
      <c r="AD100" s="248">
        <f t="shared" si="87"/>
        <v>0</v>
      </c>
      <c r="AE100" s="201">
        <v>13.85</v>
      </c>
      <c r="AF100" s="201">
        <f t="shared" si="88"/>
        <v>7721.375</v>
      </c>
      <c r="AG100" s="10"/>
      <c r="AH100" s="11">
        <f t="shared" si="89"/>
        <v>7721.375</v>
      </c>
      <c r="AI100" s="11">
        <f t="shared" si="82"/>
        <v>-7721.375</v>
      </c>
      <c r="AJ100" s="11"/>
      <c r="AK100" s="13">
        <f t="shared" si="83"/>
        <v>0.33242152466367614</v>
      </c>
      <c r="AL100" s="11">
        <f t="shared" si="84"/>
        <v>185.32499999999945</v>
      </c>
      <c r="AM100" s="17">
        <f t="shared" si="85"/>
        <v>2.4591795436601328E-2</v>
      </c>
      <c r="AN100"/>
      <c r="AR100"/>
    </row>
    <row r="101" spans="1:44" x14ac:dyDescent="0.3">
      <c r="A101" s="25">
        <v>46240</v>
      </c>
      <c r="B101" s="25">
        <v>46241</v>
      </c>
      <c r="C101" s="26">
        <v>14</v>
      </c>
      <c r="D101" s="24">
        <f t="shared" si="76"/>
        <v>46255</v>
      </c>
      <c r="E101" s="26" t="s">
        <v>507</v>
      </c>
      <c r="F101" s="99">
        <v>977761</v>
      </c>
      <c r="G101" s="99" t="s">
        <v>446</v>
      </c>
      <c r="H101" s="99" t="s">
        <v>529</v>
      </c>
      <c r="I101" s="99" t="s">
        <v>104</v>
      </c>
      <c r="J101" s="185" t="s">
        <v>528</v>
      </c>
      <c r="K101" s="160">
        <v>2000</v>
      </c>
      <c r="L101" s="187">
        <v>7.1</v>
      </c>
      <c r="M101" s="98">
        <f t="shared" si="77"/>
        <v>14200</v>
      </c>
      <c r="N101" s="20">
        <f t="shared" si="90"/>
        <v>100</v>
      </c>
      <c r="O101" s="26" t="s">
        <v>135</v>
      </c>
      <c r="P101" s="23">
        <v>105418</v>
      </c>
      <c r="Q101" s="20">
        <v>1194.8</v>
      </c>
      <c r="R101" s="29" t="s">
        <v>26</v>
      </c>
      <c r="S101" s="26" t="s">
        <v>26</v>
      </c>
      <c r="T101" s="29">
        <v>0</v>
      </c>
      <c r="U101" s="29" t="s">
        <v>26</v>
      </c>
      <c r="V101" s="26" t="s">
        <v>26</v>
      </c>
      <c r="W101" s="20">
        <v>0</v>
      </c>
      <c r="X101" s="13">
        <f t="shared" si="79"/>
        <v>15506.05</v>
      </c>
      <c r="Y101" s="98">
        <v>11.25</v>
      </c>
      <c r="Z101" s="11">
        <f t="shared" si="80"/>
        <v>7.7530250000000001</v>
      </c>
      <c r="AA101" s="4">
        <v>46241</v>
      </c>
      <c r="AB101" s="247">
        <v>10058</v>
      </c>
      <c r="AC101" s="248">
        <v>2000</v>
      </c>
      <c r="AD101" s="248">
        <f t="shared" si="87"/>
        <v>0</v>
      </c>
      <c r="AE101" s="201">
        <v>8.6999999999999993</v>
      </c>
      <c r="AF101" s="201">
        <f t="shared" si="88"/>
        <v>17400</v>
      </c>
      <c r="AG101" s="10"/>
      <c r="AH101" s="11">
        <f t="shared" si="89"/>
        <v>17400</v>
      </c>
      <c r="AI101" s="11">
        <f t="shared" si="82"/>
        <v>-14737.5</v>
      </c>
      <c r="AJ101" s="161">
        <v>2662.5</v>
      </c>
      <c r="AK101" s="13">
        <f t="shared" si="83"/>
        <v>0.94697499999999923</v>
      </c>
      <c r="AL101" s="11">
        <f t="shared" si="84"/>
        <v>1893.9499999999985</v>
      </c>
      <c r="AM101" s="17">
        <f t="shared" si="85"/>
        <v>0.12214264754724759</v>
      </c>
      <c r="AN101"/>
      <c r="AR101"/>
    </row>
    <row r="102" spans="1:44" x14ac:dyDescent="0.3">
      <c r="A102" s="184">
        <v>46240</v>
      </c>
      <c r="B102" s="184">
        <v>46244</v>
      </c>
      <c r="C102" s="99">
        <v>21</v>
      </c>
      <c r="D102" s="188">
        <f t="shared" si="76"/>
        <v>46265</v>
      </c>
      <c r="E102" s="99" t="s">
        <v>530</v>
      </c>
      <c r="F102" s="99">
        <v>13150</v>
      </c>
      <c r="G102" s="99" t="s">
        <v>95</v>
      </c>
      <c r="H102" s="99" t="s">
        <v>539</v>
      </c>
      <c r="I102" s="99" t="s">
        <v>230</v>
      </c>
      <c r="J102" s="185" t="s">
        <v>528</v>
      </c>
      <c r="K102" s="189">
        <v>1250</v>
      </c>
      <c r="L102" s="187">
        <v>6</v>
      </c>
      <c r="M102" s="98">
        <f>L102*K102</f>
        <v>7500</v>
      </c>
      <c r="N102" s="20">
        <f t="shared" si="90"/>
        <v>62.5</v>
      </c>
      <c r="O102" s="26" t="s">
        <v>26</v>
      </c>
      <c r="P102" s="23" t="s">
        <v>26</v>
      </c>
      <c r="Q102" s="20">
        <v>0</v>
      </c>
      <c r="R102" s="29" t="s">
        <v>88</v>
      </c>
      <c r="S102" s="26" t="s">
        <v>752</v>
      </c>
      <c r="T102" s="29">
        <v>1604.99</v>
      </c>
      <c r="U102" s="29" t="s">
        <v>90</v>
      </c>
      <c r="V102" s="26" t="s">
        <v>589</v>
      </c>
      <c r="W102" s="20">
        <v>138.04</v>
      </c>
      <c r="X102" s="29">
        <f t="shared" si="79"/>
        <v>9305.5300000000007</v>
      </c>
      <c r="Y102" s="11">
        <v>0</v>
      </c>
      <c r="Z102" s="11">
        <f t="shared" si="80"/>
        <v>7.4444240000000006</v>
      </c>
      <c r="AA102" s="4">
        <v>46245</v>
      </c>
      <c r="AB102" s="26" t="s">
        <v>641</v>
      </c>
      <c r="AC102" s="30">
        <v>1241</v>
      </c>
      <c r="AD102" s="190">
        <f t="shared" si="87"/>
        <v>-9</v>
      </c>
      <c r="AE102" s="1">
        <f>AF102/K102</f>
        <v>8.2179520000000004</v>
      </c>
      <c r="AF102" s="20">
        <v>10272.44</v>
      </c>
      <c r="AG102" s="10"/>
      <c r="AH102" s="11">
        <f t="shared" si="89"/>
        <v>10198.478432</v>
      </c>
      <c r="AI102" s="11">
        <f t="shared" si="82"/>
        <v>-10272.44</v>
      </c>
      <c r="AJ102" s="11"/>
      <c r="AK102" s="13">
        <f t="shared" si="83"/>
        <v>0.77352799999999977</v>
      </c>
      <c r="AL102" s="11">
        <f t="shared" si="84"/>
        <v>959.94824799999969</v>
      </c>
      <c r="AM102" s="17">
        <f t="shared" si="85"/>
        <v>0.10315890099757882</v>
      </c>
      <c r="AN102"/>
      <c r="AR102"/>
    </row>
    <row r="103" spans="1:44" x14ac:dyDescent="0.3">
      <c r="A103" s="25">
        <v>46240</v>
      </c>
      <c r="B103" s="25">
        <v>46242</v>
      </c>
      <c r="C103" s="26">
        <v>21</v>
      </c>
      <c r="D103" s="24">
        <f t="shared" si="76"/>
        <v>46263</v>
      </c>
      <c r="E103" s="26" t="s">
        <v>531</v>
      </c>
      <c r="F103" s="26">
        <v>44226</v>
      </c>
      <c r="G103" s="26" t="s">
        <v>532</v>
      </c>
      <c r="H103" s="26" t="s">
        <v>513</v>
      </c>
      <c r="I103" s="26" t="s">
        <v>184</v>
      </c>
      <c r="J103" s="65" t="s">
        <v>180</v>
      </c>
      <c r="K103" s="80">
        <v>500</v>
      </c>
      <c r="L103" s="165">
        <v>8.25</v>
      </c>
      <c r="M103" s="20">
        <f t="shared" si="77"/>
        <v>4125</v>
      </c>
      <c r="N103" s="20">
        <f t="shared" si="90"/>
        <v>25</v>
      </c>
      <c r="O103" s="26" t="s">
        <v>26</v>
      </c>
      <c r="P103" s="23" t="s">
        <v>26</v>
      </c>
      <c r="Q103" s="20">
        <v>0</v>
      </c>
      <c r="R103" s="29" t="s">
        <v>26</v>
      </c>
      <c r="S103" s="26" t="s">
        <v>26</v>
      </c>
      <c r="T103" s="29">
        <v>0</v>
      </c>
      <c r="U103" s="29" t="s">
        <v>26</v>
      </c>
      <c r="V103" s="29" t="s">
        <v>26</v>
      </c>
      <c r="W103" s="20">
        <v>0</v>
      </c>
      <c r="X103" s="29">
        <f t="shared" si="79"/>
        <v>4150</v>
      </c>
      <c r="Y103" s="11">
        <v>0</v>
      </c>
      <c r="Z103" s="20">
        <f t="shared" si="80"/>
        <v>8.3000000000000007</v>
      </c>
      <c r="AA103" s="4">
        <v>46241</v>
      </c>
      <c r="AB103" s="26">
        <v>10063</v>
      </c>
      <c r="AC103" s="30">
        <v>500</v>
      </c>
      <c r="AD103" s="28">
        <f t="shared" si="87"/>
        <v>0</v>
      </c>
      <c r="AE103" s="1">
        <f>AF103/K103</f>
        <v>8.75</v>
      </c>
      <c r="AF103" s="20">
        <v>4375</v>
      </c>
      <c r="AG103" s="10"/>
      <c r="AH103" s="11">
        <f t="shared" si="89"/>
        <v>4375</v>
      </c>
      <c r="AI103" s="11">
        <f t="shared" si="82"/>
        <v>-4375</v>
      </c>
      <c r="AJ103" s="11"/>
      <c r="AK103" s="13">
        <f t="shared" si="83"/>
        <v>0.44999999999999929</v>
      </c>
      <c r="AL103" s="11">
        <f t="shared" si="84"/>
        <v>224.99999999999966</v>
      </c>
      <c r="AM103" s="17">
        <f t="shared" si="85"/>
        <v>5.4216867469879436E-2</v>
      </c>
      <c r="AN103"/>
      <c r="AR103"/>
    </row>
    <row r="104" spans="1:44" x14ac:dyDescent="0.3">
      <c r="A104" s="184">
        <v>46241</v>
      </c>
      <c r="B104" s="184">
        <v>46244</v>
      </c>
      <c r="C104" s="99">
        <v>0</v>
      </c>
      <c r="D104" s="188">
        <f t="shared" ref="D104:D107" si="91">C104+B104</f>
        <v>46244</v>
      </c>
      <c r="E104" s="99" t="s">
        <v>533</v>
      </c>
      <c r="F104" s="99">
        <v>141245</v>
      </c>
      <c r="G104" s="99" t="s">
        <v>188</v>
      </c>
      <c r="H104" s="99" t="s">
        <v>540</v>
      </c>
      <c r="I104" s="99" t="s">
        <v>541</v>
      </c>
      <c r="J104" s="185" t="s">
        <v>122</v>
      </c>
      <c r="K104" s="189">
        <v>3657.12</v>
      </c>
      <c r="L104" s="187">
        <v>6.5</v>
      </c>
      <c r="M104" s="98">
        <f t="shared" ref="M104:M166" si="92">L104*K104</f>
        <v>23771.279999999999</v>
      </c>
      <c r="N104" s="20">
        <f t="shared" ref="N104:N166" si="93">0.05*K104</f>
        <v>182.85599999999999</v>
      </c>
      <c r="O104" s="26" t="s">
        <v>26</v>
      </c>
      <c r="P104" s="23" t="s">
        <v>26</v>
      </c>
      <c r="Q104" s="20">
        <v>0</v>
      </c>
      <c r="R104" s="29" t="s">
        <v>26</v>
      </c>
      <c r="S104" s="26" t="s">
        <v>26</v>
      </c>
      <c r="T104" s="29">
        <v>0</v>
      </c>
      <c r="U104" s="13" t="s">
        <v>134</v>
      </c>
      <c r="V104" s="10" t="s">
        <v>27</v>
      </c>
      <c r="W104" s="11">
        <v>170.7242</v>
      </c>
      <c r="X104" s="13">
        <f t="shared" ref="X104:X120" si="94">W104+T104+Q104+N104+M104+Y104</f>
        <v>24124.860199999999</v>
      </c>
      <c r="Y104" s="11">
        <v>0</v>
      </c>
      <c r="Z104" s="11">
        <f t="shared" ref="Z104:Z114" si="95">X104/K104</f>
        <v>6.5966826902043136</v>
      </c>
      <c r="AA104" s="4">
        <v>46245</v>
      </c>
      <c r="AB104" s="26" t="s">
        <v>642</v>
      </c>
      <c r="AC104" s="30">
        <v>3657.12</v>
      </c>
      <c r="AD104" s="28">
        <f t="shared" si="87"/>
        <v>0</v>
      </c>
      <c r="AE104" s="1">
        <v>6.85</v>
      </c>
      <c r="AF104" s="20">
        <f t="shared" si="88"/>
        <v>25051.271999999997</v>
      </c>
      <c r="AG104" s="10"/>
      <c r="AH104" s="11">
        <f t="shared" si="89"/>
        <v>25051.271999999997</v>
      </c>
      <c r="AI104" s="11">
        <f t="shared" si="82"/>
        <v>-24981.071999999996</v>
      </c>
      <c r="AJ104" s="161">
        <v>70.2</v>
      </c>
      <c r="AK104" s="13">
        <f t="shared" si="83"/>
        <v>0.25331730979568601</v>
      </c>
      <c r="AL104" s="11">
        <f t="shared" si="84"/>
        <v>926.41179999999918</v>
      </c>
      <c r="AM104" s="17">
        <f t="shared" si="85"/>
        <v>3.8400711644331072E-2</v>
      </c>
      <c r="AN104"/>
      <c r="AR104"/>
    </row>
    <row r="105" spans="1:44" x14ac:dyDescent="0.3">
      <c r="A105" s="3">
        <v>46242</v>
      </c>
      <c r="B105" s="3">
        <v>46244</v>
      </c>
      <c r="C105">
        <v>21</v>
      </c>
      <c r="D105" s="4">
        <f t="shared" si="91"/>
        <v>46265</v>
      </c>
      <c r="E105" s="26" t="s">
        <v>547</v>
      </c>
      <c r="F105" s="26">
        <v>44240</v>
      </c>
      <c r="G105" s="26" t="s">
        <v>182</v>
      </c>
      <c r="H105" s="26" t="s">
        <v>513</v>
      </c>
      <c r="I105" s="26" t="s">
        <v>184</v>
      </c>
      <c r="J105" s="65" t="s">
        <v>180</v>
      </c>
      <c r="K105" s="80">
        <v>350</v>
      </c>
      <c r="L105" s="165">
        <v>8.5</v>
      </c>
      <c r="M105" s="20">
        <f t="shared" si="92"/>
        <v>2975</v>
      </c>
      <c r="N105" s="20">
        <f t="shared" si="93"/>
        <v>17.5</v>
      </c>
      <c r="O105" s="26" t="s">
        <v>26</v>
      </c>
      <c r="P105" s="23" t="s">
        <v>26</v>
      </c>
      <c r="Q105" s="20">
        <v>0</v>
      </c>
      <c r="R105" s="29" t="s">
        <v>26</v>
      </c>
      <c r="S105" s="26" t="s">
        <v>26</v>
      </c>
      <c r="T105" s="29">
        <v>0</v>
      </c>
      <c r="U105" s="29" t="s">
        <v>26</v>
      </c>
      <c r="V105" s="29" t="s">
        <v>26</v>
      </c>
      <c r="W105" s="20">
        <v>0</v>
      </c>
      <c r="X105" s="29">
        <f t="shared" si="94"/>
        <v>2992.5</v>
      </c>
      <c r="Y105" s="20">
        <v>0</v>
      </c>
      <c r="Z105" s="20">
        <f t="shared" si="95"/>
        <v>8.5500000000000007</v>
      </c>
      <c r="AA105" s="4">
        <v>46243</v>
      </c>
      <c r="AB105" s="26">
        <v>10065</v>
      </c>
      <c r="AC105" s="30">
        <v>350</v>
      </c>
      <c r="AD105" s="28">
        <f t="shared" si="87"/>
        <v>0</v>
      </c>
      <c r="AE105" s="1">
        <v>9</v>
      </c>
      <c r="AF105" s="20">
        <f t="shared" si="88"/>
        <v>3150</v>
      </c>
      <c r="AG105" s="10"/>
      <c r="AH105" s="11">
        <f t="shared" si="89"/>
        <v>3150</v>
      </c>
      <c r="AI105" s="11">
        <f t="shared" si="82"/>
        <v>-3150</v>
      </c>
      <c r="AJ105" s="11"/>
      <c r="AK105" s="13">
        <f t="shared" si="83"/>
        <v>0.44999999999999929</v>
      </c>
      <c r="AL105" s="11">
        <f t="shared" si="84"/>
        <v>157.49999999999974</v>
      </c>
      <c r="AM105" s="17">
        <f t="shared" si="85"/>
        <v>5.2631578947368335E-2</v>
      </c>
      <c r="AN105"/>
      <c r="AR105"/>
    </row>
    <row r="106" spans="1:44" x14ac:dyDescent="0.3">
      <c r="A106" s="3">
        <v>46244</v>
      </c>
      <c r="B106" s="3">
        <v>46245</v>
      </c>
      <c r="C106">
        <v>21</v>
      </c>
      <c r="D106" s="4">
        <f t="shared" si="91"/>
        <v>46266</v>
      </c>
      <c r="E106" s="26" t="s">
        <v>553</v>
      </c>
      <c r="F106" s="26">
        <v>13148</v>
      </c>
      <c r="G106" s="26" t="s">
        <v>95</v>
      </c>
      <c r="H106" s="26" t="s">
        <v>539</v>
      </c>
      <c r="I106" s="26" t="s">
        <v>230</v>
      </c>
      <c r="J106" s="23" t="s">
        <v>109</v>
      </c>
      <c r="K106" s="159">
        <v>835</v>
      </c>
      <c r="L106" s="165">
        <v>12</v>
      </c>
      <c r="M106" s="20">
        <f t="shared" si="92"/>
        <v>10020</v>
      </c>
      <c r="N106" s="20">
        <f t="shared" si="93"/>
        <v>41.75</v>
      </c>
      <c r="O106" s="26" t="s">
        <v>89</v>
      </c>
      <c r="P106" s="23" t="s">
        <v>607</v>
      </c>
      <c r="Q106" s="20">
        <v>779.12</v>
      </c>
      <c r="R106" s="29" t="s">
        <v>26</v>
      </c>
      <c r="S106" s="26" t="s">
        <v>26</v>
      </c>
      <c r="T106" s="29">
        <v>0</v>
      </c>
      <c r="U106" s="29" t="s">
        <v>26</v>
      </c>
      <c r="V106" s="26" t="s">
        <v>26</v>
      </c>
      <c r="W106" s="20">
        <v>0</v>
      </c>
      <c r="X106" s="29">
        <f t="shared" si="94"/>
        <v>10840.87</v>
      </c>
      <c r="Y106" s="11">
        <v>0</v>
      </c>
      <c r="Z106" s="20">
        <f t="shared" si="95"/>
        <v>12.983077844311378</v>
      </c>
      <c r="AA106" s="4">
        <v>46245</v>
      </c>
      <c r="AB106" s="26" t="s">
        <v>608</v>
      </c>
      <c r="AC106" s="30">
        <v>835</v>
      </c>
      <c r="AD106" s="28">
        <f t="shared" si="87"/>
        <v>0</v>
      </c>
      <c r="AE106" s="1">
        <f>AF106/K106</f>
        <v>13.677065868263474</v>
      </c>
      <c r="AF106" s="20">
        <v>11420.35</v>
      </c>
      <c r="AG106" s="10"/>
      <c r="AH106" s="11">
        <f t="shared" si="89"/>
        <v>11420.35</v>
      </c>
      <c r="AI106" s="11">
        <f t="shared" si="82"/>
        <v>-11420.35</v>
      </c>
      <c r="AJ106" s="11"/>
      <c r="AK106" s="13">
        <f t="shared" si="83"/>
        <v>0.69398802395209636</v>
      </c>
      <c r="AL106" s="11">
        <f t="shared" si="84"/>
        <v>579.48000000000047</v>
      </c>
      <c r="AM106" s="17">
        <f t="shared" si="85"/>
        <v>5.3453274506566395E-2</v>
      </c>
      <c r="AN106"/>
      <c r="AR106"/>
    </row>
    <row r="107" spans="1:44" x14ac:dyDescent="0.3">
      <c r="A107" s="3">
        <v>46244</v>
      </c>
      <c r="B107" s="3">
        <v>46247</v>
      </c>
      <c r="C107">
        <v>30</v>
      </c>
      <c r="D107" s="4">
        <f t="shared" si="91"/>
        <v>46277</v>
      </c>
      <c r="E107" s="26" t="s">
        <v>560</v>
      </c>
      <c r="F107" s="26" t="s">
        <v>649</v>
      </c>
      <c r="G107" s="26" t="s">
        <v>56</v>
      </c>
      <c r="H107" s="26" t="s">
        <v>58</v>
      </c>
      <c r="I107" s="26" t="s">
        <v>184</v>
      </c>
      <c r="J107" s="65" t="s">
        <v>554</v>
      </c>
      <c r="K107" s="109">
        <v>2920</v>
      </c>
      <c r="L107" s="165">
        <v>3.75</v>
      </c>
      <c r="M107" s="20">
        <f t="shared" si="92"/>
        <v>10950</v>
      </c>
      <c r="N107" s="1">
        <f>0.05*K107</f>
        <v>146</v>
      </c>
      <c r="O107" s="26" t="s">
        <v>135</v>
      </c>
      <c r="P107" s="292" t="s">
        <v>681</v>
      </c>
      <c r="Q107" s="20">
        <v>411.37</v>
      </c>
      <c r="R107" s="29" t="s">
        <v>26</v>
      </c>
      <c r="S107" s="26" t="s">
        <v>26</v>
      </c>
      <c r="T107" s="29">
        <v>0</v>
      </c>
      <c r="U107" s="29" t="s">
        <v>26</v>
      </c>
      <c r="V107" s="29" t="s">
        <v>26</v>
      </c>
      <c r="W107" s="1">
        <v>0</v>
      </c>
      <c r="X107" s="12">
        <f t="shared" si="94"/>
        <v>11507.37</v>
      </c>
      <c r="Y107" s="11">
        <v>0</v>
      </c>
      <c r="Z107" s="11">
        <f t="shared" si="95"/>
        <v>3.9408801369863018</v>
      </c>
      <c r="AA107" s="4">
        <v>46248</v>
      </c>
      <c r="AB107" s="26">
        <v>10072</v>
      </c>
      <c r="AC107" s="30">
        <v>2920</v>
      </c>
      <c r="AD107" s="28">
        <f t="shared" si="87"/>
        <v>0</v>
      </c>
      <c r="AE107" s="1">
        <f>AF107/K107</f>
        <v>4.75</v>
      </c>
      <c r="AF107" s="20">
        <v>13870</v>
      </c>
      <c r="AG107" s="10"/>
      <c r="AH107" s="11">
        <f t="shared" si="89"/>
        <v>13870</v>
      </c>
      <c r="AI107" s="11">
        <f t="shared" si="82"/>
        <v>-13870</v>
      </c>
      <c r="AJ107" s="11"/>
      <c r="AK107" s="13">
        <f t="shared" si="83"/>
        <v>0.8091198630136982</v>
      </c>
      <c r="AL107" s="11">
        <f t="shared" si="84"/>
        <v>2362.6299999999987</v>
      </c>
      <c r="AM107" s="17">
        <f t="shared" si="85"/>
        <v>0.20531450713759952</v>
      </c>
      <c r="AN107"/>
      <c r="AR107"/>
    </row>
    <row r="108" spans="1:44" x14ac:dyDescent="0.3">
      <c r="A108" s="184">
        <v>46244</v>
      </c>
      <c r="B108" s="184">
        <v>46247</v>
      </c>
      <c r="C108" s="99">
        <v>0</v>
      </c>
      <c r="D108" s="184">
        <v>46247</v>
      </c>
      <c r="E108" s="99" t="s">
        <v>561</v>
      </c>
      <c r="F108" s="99" t="s">
        <v>586</v>
      </c>
      <c r="G108" s="99" t="s">
        <v>552</v>
      </c>
      <c r="H108" s="99" t="s">
        <v>551</v>
      </c>
      <c r="I108" s="99" t="s">
        <v>230</v>
      </c>
      <c r="J108" s="185" t="s">
        <v>555</v>
      </c>
      <c r="K108" s="186">
        <v>20641.5</v>
      </c>
      <c r="L108" s="187">
        <v>1.3</v>
      </c>
      <c r="M108" s="98">
        <f t="shared" si="92"/>
        <v>26833.95</v>
      </c>
      <c r="N108" s="1">
        <f t="shared" si="93"/>
        <v>1032.075</v>
      </c>
      <c r="O108" s="26" t="s">
        <v>135</v>
      </c>
      <c r="P108" s="23">
        <v>3587</v>
      </c>
      <c r="Q108" s="20">
        <v>4700</v>
      </c>
      <c r="R108" s="29" t="s">
        <v>26</v>
      </c>
      <c r="S108" s="26" t="s">
        <v>26</v>
      </c>
      <c r="T108" s="29">
        <v>0</v>
      </c>
      <c r="U108" s="29" t="s">
        <v>26</v>
      </c>
      <c r="V108" s="10" t="s">
        <v>26</v>
      </c>
      <c r="W108" s="1">
        <v>0</v>
      </c>
      <c r="X108" s="13">
        <f t="shared" si="94"/>
        <v>32566.025000000001</v>
      </c>
      <c r="Y108" s="11">
        <v>0</v>
      </c>
      <c r="Z108" s="11">
        <f t="shared" si="95"/>
        <v>1.5776966305743285</v>
      </c>
      <c r="AA108" s="4">
        <v>46248</v>
      </c>
      <c r="AB108" s="26">
        <v>10072</v>
      </c>
      <c r="AC108" s="30">
        <v>20641.5</v>
      </c>
      <c r="AD108" s="28">
        <f t="shared" si="87"/>
        <v>0</v>
      </c>
      <c r="AE108" s="1">
        <f>AF108/K108</f>
        <v>2.2000000000000002</v>
      </c>
      <c r="AF108" s="20">
        <v>45411.3</v>
      </c>
      <c r="AG108" s="10"/>
      <c r="AH108" s="11">
        <f t="shared" si="89"/>
        <v>45411.3</v>
      </c>
      <c r="AI108" s="11">
        <f t="shared" si="82"/>
        <v>-45411.3</v>
      </c>
      <c r="AJ108" s="11"/>
      <c r="AK108" s="13">
        <f t="shared" si="83"/>
        <v>0.62230336942567166</v>
      </c>
      <c r="AL108" s="11">
        <f t="shared" si="84"/>
        <v>12845.275000000001</v>
      </c>
      <c r="AM108" s="17">
        <f t="shared" si="85"/>
        <v>0.39443791497427155</v>
      </c>
      <c r="AN108"/>
      <c r="AR108"/>
    </row>
    <row r="109" spans="1:44" x14ac:dyDescent="0.3">
      <c r="A109" s="184">
        <v>46244</v>
      </c>
      <c r="B109" s="184">
        <v>46247</v>
      </c>
      <c r="C109" s="99">
        <v>0</v>
      </c>
      <c r="D109" s="184">
        <v>46247</v>
      </c>
      <c r="E109" s="99" t="s">
        <v>561</v>
      </c>
      <c r="F109" s="99" t="s">
        <v>586</v>
      </c>
      <c r="G109" s="99" t="s">
        <v>552</v>
      </c>
      <c r="H109" s="99" t="s">
        <v>551</v>
      </c>
      <c r="I109" s="99" t="s">
        <v>230</v>
      </c>
      <c r="J109" s="185" t="s">
        <v>556</v>
      </c>
      <c r="K109" s="186">
        <v>12474</v>
      </c>
      <c r="L109" s="187">
        <v>1.3</v>
      </c>
      <c r="M109" s="98">
        <f t="shared" si="92"/>
        <v>16216.2</v>
      </c>
      <c r="N109" s="1">
        <f t="shared" si="93"/>
        <v>623.70000000000005</v>
      </c>
      <c r="O109" s="26" t="s">
        <v>135</v>
      </c>
      <c r="P109" s="23">
        <v>3587</v>
      </c>
      <c r="Q109" s="20">
        <v>2800</v>
      </c>
      <c r="R109" s="29" t="s">
        <v>26</v>
      </c>
      <c r="S109" s="26" t="s">
        <v>26</v>
      </c>
      <c r="T109" s="29">
        <v>0</v>
      </c>
      <c r="U109" s="29" t="s">
        <v>26</v>
      </c>
      <c r="V109" s="29" t="s">
        <v>26</v>
      </c>
      <c r="W109" s="1">
        <v>0</v>
      </c>
      <c r="X109" s="12">
        <f t="shared" si="94"/>
        <v>19639.900000000001</v>
      </c>
      <c r="Y109" s="11">
        <v>0</v>
      </c>
      <c r="Z109" s="11">
        <f>X109/K109</f>
        <v>1.574466891133558</v>
      </c>
      <c r="AA109" s="4">
        <v>46248</v>
      </c>
      <c r="AB109" s="26">
        <v>10072</v>
      </c>
      <c r="AC109" s="30">
        <v>12474</v>
      </c>
      <c r="AD109" s="28">
        <f t="shared" si="87"/>
        <v>0</v>
      </c>
      <c r="AE109" s="1">
        <f>AF109/K109</f>
        <v>2.1999999999999997</v>
      </c>
      <c r="AF109" s="20">
        <v>27442.799999999999</v>
      </c>
      <c r="AG109" s="10"/>
      <c r="AH109" s="11">
        <f t="shared" si="89"/>
        <v>27442.799999999996</v>
      </c>
      <c r="AI109" s="11">
        <f t="shared" si="82"/>
        <v>-27442.799999999999</v>
      </c>
      <c r="AJ109" s="11"/>
      <c r="AK109" s="13">
        <f t="shared" si="83"/>
        <v>0.62553310886644176</v>
      </c>
      <c r="AL109" s="11">
        <f t="shared" si="84"/>
        <v>7802.8999999999942</v>
      </c>
      <c r="AM109" s="17">
        <f t="shared" si="85"/>
        <v>0.39729835691627724</v>
      </c>
      <c r="AN109"/>
      <c r="AP109" s="58"/>
      <c r="AR109"/>
    </row>
    <row r="110" spans="1:44" x14ac:dyDescent="0.3">
      <c r="A110" s="184">
        <v>46244</v>
      </c>
      <c r="B110" s="184">
        <v>46248</v>
      </c>
      <c r="C110" s="99">
        <v>0</v>
      </c>
      <c r="D110" s="184">
        <v>46248</v>
      </c>
      <c r="E110" s="99" t="s">
        <v>564</v>
      </c>
      <c r="F110" s="10"/>
      <c r="G110" s="99" t="s">
        <v>40</v>
      </c>
      <c r="H110" s="99" t="s">
        <v>565</v>
      </c>
      <c r="I110" s="99" t="s">
        <v>541</v>
      </c>
      <c r="J110" s="185" t="s">
        <v>43</v>
      </c>
      <c r="K110" s="186">
        <v>5280</v>
      </c>
      <c r="L110" s="187">
        <v>1.6</v>
      </c>
      <c r="M110" s="98">
        <f t="shared" si="92"/>
        <v>8448</v>
      </c>
      <c r="N110" s="1">
        <f t="shared" si="93"/>
        <v>264</v>
      </c>
      <c r="O110" s="26" t="s">
        <v>582</v>
      </c>
      <c r="P110" s="16" t="s">
        <v>27</v>
      </c>
      <c r="Q110" s="11">
        <v>264</v>
      </c>
      <c r="R110" s="29" t="s">
        <v>571</v>
      </c>
      <c r="S110" s="26">
        <v>4155460</v>
      </c>
      <c r="T110" s="29">
        <v>2059.1999999999998</v>
      </c>
      <c r="U110" s="29" t="s">
        <v>90</v>
      </c>
      <c r="V110" s="26" t="s">
        <v>702</v>
      </c>
      <c r="W110" s="20">
        <v>316.8</v>
      </c>
      <c r="X110" s="13">
        <f t="shared" si="94"/>
        <v>11352</v>
      </c>
      <c r="Y110" s="11">
        <v>0</v>
      </c>
      <c r="Z110" s="11">
        <f t="shared" si="95"/>
        <v>2.15</v>
      </c>
      <c r="AA110" s="4">
        <v>46248</v>
      </c>
      <c r="AB110" s="26">
        <v>10073</v>
      </c>
      <c r="AC110" s="30">
        <v>5280</v>
      </c>
      <c r="AD110" s="28">
        <f t="shared" si="87"/>
        <v>0</v>
      </c>
      <c r="AE110" s="1">
        <f>AF110/K110</f>
        <v>2.5</v>
      </c>
      <c r="AF110" s="20">
        <v>13200</v>
      </c>
      <c r="AG110" s="10"/>
      <c r="AH110" s="11">
        <f>AE109*AC110</f>
        <v>11615.999999999998</v>
      </c>
      <c r="AI110" s="11">
        <f t="shared" si="82"/>
        <v>-13200</v>
      </c>
      <c r="AJ110" s="11"/>
      <c r="AK110" s="13">
        <f>AE109-Z110</f>
        <v>4.9999999999999822E-2</v>
      </c>
      <c r="AL110" s="11">
        <f t="shared" si="84"/>
        <v>263.99999999999909</v>
      </c>
      <c r="AM110" s="17">
        <f t="shared" si="85"/>
        <v>2.3255813953488292E-2</v>
      </c>
      <c r="AN110"/>
      <c r="AR110"/>
    </row>
    <row r="111" spans="1:44" x14ac:dyDescent="0.3">
      <c r="A111" s="3">
        <v>46245</v>
      </c>
      <c r="B111" s="3">
        <v>46246</v>
      </c>
      <c r="C111">
        <v>21</v>
      </c>
      <c r="D111" s="3">
        <v>46266</v>
      </c>
      <c r="E111" s="26" t="s">
        <v>567</v>
      </c>
      <c r="F111" s="26">
        <v>44242</v>
      </c>
      <c r="G111" s="26" t="s">
        <v>532</v>
      </c>
      <c r="H111" s="26" t="s">
        <v>513</v>
      </c>
      <c r="I111" s="26" t="s">
        <v>184</v>
      </c>
      <c r="J111" s="65" t="s">
        <v>180</v>
      </c>
      <c r="K111" s="159">
        <v>500</v>
      </c>
      <c r="L111" s="165">
        <v>8.6</v>
      </c>
      <c r="M111" s="20">
        <f t="shared" si="92"/>
        <v>4300</v>
      </c>
      <c r="N111" s="1">
        <f t="shared" si="93"/>
        <v>25</v>
      </c>
      <c r="O111" s="26" t="s">
        <v>26</v>
      </c>
      <c r="P111" s="23" t="s">
        <v>26</v>
      </c>
      <c r="Q111" s="20">
        <v>0</v>
      </c>
      <c r="R111" s="29" t="s">
        <v>26</v>
      </c>
      <c r="S111" s="26" t="s">
        <v>26</v>
      </c>
      <c r="T111" s="29">
        <v>0</v>
      </c>
      <c r="U111" s="29" t="s">
        <v>26</v>
      </c>
      <c r="V111" s="29" t="s">
        <v>26</v>
      </c>
      <c r="W111" s="20">
        <v>0</v>
      </c>
      <c r="X111" s="29">
        <f t="shared" si="94"/>
        <v>4325</v>
      </c>
      <c r="Y111" s="11">
        <v>0</v>
      </c>
      <c r="Z111" s="11">
        <f t="shared" si="95"/>
        <v>8.65</v>
      </c>
      <c r="AA111" s="4">
        <v>46246</v>
      </c>
      <c r="AB111" s="26">
        <v>10074</v>
      </c>
      <c r="AC111" s="30">
        <v>500</v>
      </c>
      <c r="AD111" s="28">
        <f t="shared" si="87"/>
        <v>0</v>
      </c>
      <c r="AE111" s="1">
        <v>9.25</v>
      </c>
      <c r="AF111" s="20">
        <f t="shared" si="88"/>
        <v>4625</v>
      </c>
      <c r="AG111" s="10"/>
      <c r="AH111" s="11">
        <f>AE111*AC111</f>
        <v>4625</v>
      </c>
      <c r="AI111" s="11">
        <f t="shared" si="82"/>
        <v>-4625</v>
      </c>
      <c r="AJ111" s="11"/>
      <c r="AK111" s="13">
        <f>AE111-Z111</f>
        <v>0.59999999999999964</v>
      </c>
      <c r="AL111" s="11">
        <f t="shared" si="84"/>
        <v>299.99999999999983</v>
      </c>
      <c r="AM111" s="17">
        <f t="shared" si="85"/>
        <v>6.9364161849710948E-2</v>
      </c>
      <c r="AN111"/>
      <c r="AR111"/>
    </row>
    <row r="112" spans="1:44" x14ac:dyDescent="0.3">
      <c r="A112" s="3">
        <v>46246</v>
      </c>
      <c r="B112" s="3">
        <v>46247</v>
      </c>
      <c r="C112">
        <v>14</v>
      </c>
      <c r="D112" s="3">
        <v>46261</v>
      </c>
      <c r="E112" s="26" t="s">
        <v>572</v>
      </c>
      <c r="F112" s="99" t="s">
        <v>588</v>
      </c>
      <c r="G112" s="99" t="s">
        <v>57</v>
      </c>
      <c r="H112" s="99" t="s">
        <v>59</v>
      </c>
      <c r="I112" s="99" t="s">
        <v>104</v>
      </c>
      <c r="J112" s="185" t="s">
        <v>109</v>
      </c>
      <c r="K112" s="186">
        <v>502.25</v>
      </c>
      <c r="L112" s="187">
        <v>12.05</v>
      </c>
      <c r="M112" s="98">
        <f t="shared" si="92"/>
        <v>6052.1125000000002</v>
      </c>
      <c r="N112" s="20">
        <f t="shared" si="93"/>
        <v>25.112500000000001</v>
      </c>
      <c r="O112" s="26" t="s">
        <v>157</v>
      </c>
      <c r="P112" s="16" t="s">
        <v>27</v>
      </c>
      <c r="Q112" s="11">
        <v>650</v>
      </c>
      <c r="R112" s="13" t="s">
        <v>90</v>
      </c>
      <c r="S112" s="10"/>
      <c r="T112" s="13">
        <v>30</v>
      </c>
      <c r="U112" s="12" t="s">
        <v>246</v>
      </c>
      <c r="V112" t="s">
        <v>246</v>
      </c>
      <c r="W112" s="1">
        <v>0</v>
      </c>
      <c r="X112" s="13">
        <f t="shared" si="94"/>
        <v>6772.2250000000004</v>
      </c>
      <c r="Y112" s="98">
        <v>15</v>
      </c>
      <c r="Z112" s="11">
        <f t="shared" si="95"/>
        <v>13.483773021403684</v>
      </c>
      <c r="AA112" s="4">
        <v>46247</v>
      </c>
      <c r="AB112" s="26">
        <v>10076</v>
      </c>
      <c r="AC112" s="30">
        <v>502.25</v>
      </c>
      <c r="AD112" s="28">
        <f t="shared" si="87"/>
        <v>0</v>
      </c>
      <c r="AE112" s="1">
        <v>13.85</v>
      </c>
      <c r="AF112" s="20">
        <f t="shared" si="88"/>
        <v>6956.1624999999995</v>
      </c>
      <c r="AG112" s="10"/>
      <c r="AH112" s="11">
        <f>AE112*AC112</f>
        <v>6956.1624999999995</v>
      </c>
      <c r="AI112" s="11">
        <f t="shared" si="82"/>
        <v>-6956.1624999999995</v>
      </c>
      <c r="AJ112" s="11"/>
      <c r="AK112" s="13">
        <f>AE112-Z112</f>
        <v>0.36622697859631614</v>
      </c>
      <c r="AL112" s="11">
        <f t="shared" si="84"/>
        <v>183.93749999999977</v>
      </c>
      <c r="AM112" s="17">
        <f t="shared" si="85"/>
        <v>2.7160571304113458E-2</v>
      </c>
      <c r="AN112"/>
      <c r="AR112"/>
    </row>
    <row r="113" spans="1:44" x14ac:dyDescent="0.3">
      <c r="A113" s="3">
        <v>46246</v>
      </c>
      <c r="B113" s="3">
        <v>46247</v>
      </c>
      <c r="C113">
        <v>14</v>
      </c>
      <c r="D113" s="3">
        <v>46261</v>
      </c>
      <c r="E113" s="99" t="s">
        <v>573</v>
      </c>
      <c r="F113" s="99">
        <v>978455</v>
      </c>
      <c r="G113" s="99" t="s">
        <v>446</v>
      </c>
      <c r="H113" s="99" t="s">
        <v>455</v>
      </c>
      <c r="I113" s="99" t="s">
        <v>104</v>
      </c>
      <c r="J113" s="185" t="s">
        <v>502</v>
      </c>
      <c r="K113" s="186">
        <v>480</v>
      </c>
      <c r="L113" s="187">
        <v>6.75</v>
      </c>
      <c r="M113" s="98">
        <f t="shared" si="92"/>
        <v>3240</v>
      </c>
      <c r="N113" s="1">
        <f t="shared" si="93"/>
        <v>24</v>
      </c>
      <c r="O113" s="26" t="s">
        <v>157</v>
      </c>
      <c r="P113" s="16" t="s">
        <v>27</v>
      </c>
      <c r="Q113" s="11">
        <v>700.8</v>
      </c>
      <c r="R113" s="13" t="s">
        <v>90</v>
      </c>
      <c r="S113" s="10" t="s">
        <v>27</v>
      </c>
      <c r="T113" s="13">
        <v>28.8</v>
      </c>
      <c r="U113" s="12" t="s">
        <v>26</v>
      </c>
      <c r="V113" t="s">
        <v>26</v>
      </c>
      <c r="W113" s="1">
        <v>0</v>
      </c>
      <c r="X113" s="13">
        <f t="shared" si="94"/>
        <v>4004.85</v>
      </c>
      <c r="Y113" s="98">
        <v>11.25</v>
      </c>
      <c r="Z113" s="1">
        <f t="shared" si="95"/>
        <v>8.3434375000000003</v>
      </c>
      <c r="AA113" s="4">
        <v>46247</v>
      </c>
      <c r="AB113" s="26">
        <v>10076</v>
      </c>
      <c r="AC113" s="30">
        <v>480</v>
      </c>
      <c r="AD113" s="28">
        <f t="shared" si="87"/>
        <v>0</v>
      </c>
      <c r="AE113" s="1">
        <f>AF113/K113</f>
        <v>12.5</v>
      </c>
      <c r="AF113" s="20">
        <v>6000</v>
      </c>
      <c r="AG113" s="10"/>
      <c r="AH113" s="11">
        <f>AE113*AC113</f>
        <v>6000</v>
      </c>
      <c r="AI113" s="11">
        <f t="shared" si="82"/>
        <v>-6000</v>
      </c>
      <c r="AJ113" s="11"/>
      <c r="AK113" s="13">
        <f>AE113-Z113</f>
        <v>4.1565624999999997</v>
      </c>
      <c r="AL113" s="11">
        <f t="shared" si="84"/>
        <v>1995.1499999999999</v>
      </c>
      <c r="AM113" s="17">
        <f t="shared" si="85"/>
        <v>0.49818345256376639</v>
      </c>
      <c r="AN113"/>
      <c r="AR113"/>
    </row>
    <row r="114" spans="1:44" x14ac:dyDescent="0.3">
      <c r="A114" s="91">
        <v>46248</v>
      </c>
      <c r="B114" s="91">
        <v>46248</v>
      </c>
      <c r="C114" s="85">
        <v>14</v>
      </c>
      <c r="D114" s="91">
        <v>46262</v>
      </c>
      <c r="E114" s="99" t="s">
        <v>581</v>
      </c>
      <c r="F114" s="99">
        <v>978456</v>
      </c>
      <c r="G114" s="99" t="s">
        <v>446</v>
      </c>
      <c r="H114" s="99" t="s">
        <v>455</v>
      </c>
      <c r="I114" s="99" t="s">
        <v>104</v>
      </c>
      <c r="J114" s="185" t="s">
        <v>502</v>
      </c>
      <c r="K114" s="186">
        <v>480</v>
      </c>
      <c r="L114" s="187">
        <v>7.15</v>
      </c>
      <c r="M114" s="98">
        <f t="shared" si="92"/>
        <v>3432</v>
      </c>
      <c r="N114" s="1">
        <f t="shared" si="93"/>
        <v>24</v>
      </c>
      <c r="O114" s="26" t="s">
        <v>88</v>
      </c>
      <c r="P114" s="23" t="s">
        <v>614</v>
      </c>
      <c r="Q114" s="20">
        <v>390.3</v>
      </c>
      <c r="R114" s="29" t="s">
        <v>246</v>
      </c>
      <c r="S114" s="26" t="s">
        <v>26</v>
      </c>
      <c r="T114" s="29">
        <v>0</v>
      </c>
      <c r="U114" s="29" t="s">
        <v>26</v>
      </c>
      <c r="V114" s="26" t="s">
        <v>26</v>
      </c>
      <c r="W114" s="20">
        <v>0</v>
      </c>
      <c r="X114" s="12">
        <f t="shared" si="94"/>
        <v>3857.55</v>
      </c>
      <c r="Y114" s="98">
        <v>11.25</v>
      </c>
      <c r="Z114" s="1">
        <f t="shared" si="95"/>
        <v>8.0365625000000005</v>
      </c>
      <c r="AA114" s="4">
        <v>46250</v>
      </c>
      <c r="AB114" s="26" t="s">
        <v>643</v>
      </c>
      <c r="AC114" s="30"/>
      <c r="AD114" s="28">
        <f t="shared" si="87"/>
        <v>-480</v>
      </c>
      <c r="AE114" s="1">
        <f>AF114/K114</f>
        <v>9.625</v>
      </c>
      <c r="AF114" s="20">
        <v>4620</v>
      </c>
      <c r="AG114" s="10"/>
      <c r="AH114" s="11">
        <f>AE114*AC114</f>
        <v>0</v>
      </c>
      <c r="AI114" s="11">
        <f t="shared" si="82"/>
        <v>-4620</v>
      </c>
      <c r="AJ114" s="11"/>
      <c r="AK114" s="13">
        <f>AE114-Z114</f>
        <v>1.5884374999999995</v>
      </c>
      <c r="AL114" s="11">
        <f t="shared" si="84"/>
        <v>0</v>
      </c>
      <c r="AM114" s="17">
        <f t="shared" si="85"/>
        <v>0</v>
      </c>
      <c r="AN114"/>
      <c r="AR114"/>
    </row>
    <row r="115" spans="1:44" x14ac:dyDescent="0.3">
      <c r="A115" s="184">
        <v>46248</v>
      </c>
      <c r="B115" s="184">
        <v>46248</v>
      </c>
      <c r="C115" s="99">
        <v>0</v>
      </c>
      <c r="D115" s="184">
        <v>46248</v>
      </c>
      <c r="E115" s="99" t="s">
        <v>587</v>
      </c>
      <c r="F115" s="99">
        <v>5089860</v>
      </c>
      <c r="G115" s="99" t="s">
        <v>205</v>
      </c>
      <c r="H115" s="99" t="s">
        <v>206</v>
      </c>
      <c r="I115" s="99" t="s">
        <v>207</v>
      </c>
      <c r="J115" s="185" t="s">
        <v>549</v>
      </c>
      <c r="K115" s="186">
        <v>533</v>
      </c>
      <c r="L115" s="187">
        <v>7.2</v>
      </c>
      <c r="M115" s="246">
        <f t="shared" si="92"/>
        <v>3837.6</v>
      </c>
      <c r="N115" s="20">
        <f t="shared" si="93"/>
        <v>26.650000000000002</v>
      </c>
      <c r="O115" s="26" t="s">
        <v>90</v>
      </c>
      <c r="P115" s="23" t="s">
        <v>605</v>
      </c>
      <c r="Q115" s="20">
        <v>106.32</v>
      </c>
      <c r="R115" s="12"/>
      <c r="T115" s="12"/>
      <c r="U115" s="12"/>
      <c r="V115"/>
      <c r="W115" s="1"/>
      <c r="X115" s="12">
        <f t="shared" si="94"/>
        <v>3972.5699999999997</v>
      </c>
      <c r="Y115" s="20">
        <v>2</v>
      </c>
      <c r="Z115" s="1"/>
      <c r="AA115" s="4"/>
      <c r="AB115" s="26">
        <v>10080</v>
      </c>
      <c r="AC115" s="30"/>
      <c r="AD115" s="30">
        <f t="shared" si="87"/>
        <v>-533</v>
      </c>
      <c r="AE115" s="1">
        <f>AF115/K115</f>
        <v>8.2999999999999989</v>
      </c>
      <c r="AF115" s="1">
        <v>4423.8999999999996</v>
      </c>
      <c r="AG115" s="10"/>
      <c r="AH115" s="11">
        <f>AE115*AC115</f>
        <v>0</v>
      </c>
      <c r="AI115" s="11">
        <f t="shared" si="82"/>
        <v>-4423.8999999999996</v>
      </c>
      <c r="AJ115" s="11"/>
      <c r="AK115" s="13">
        <f t="shared" ref="AK115:AK166" si="96">AE115-Z115</f>
        <v>8.2999999999999989</v>
      </c>
      <c r="AL115" s="11">
        <f t="shared" si="84"/>
        <v>0</v>
      </c>
      <c r="AM115" s="31"/>
      <c r="AN115"/>
      <c r="AR115"/>
    </row>
    <row r="116" spans="1:44" x14ac:dyDescent="0.3">
      <c r="A116" s="184">
        <v>46248</v>
      </c>
      <c r="B116" s="184">
        <v>46248</v>
      </c>
      <c r="C116" s="99">
        <v>0</v>
      </c>
      <c r="D116" s="184">
        <v>46248</v>
      </c>
      <c r="E116" s="99" t="s">
        <v>587</v>
      </c>
      <c r="F116" s="99">
        <v>5089860</v>
      </c>
      <c r="G116" s="99" t="s">
        <v>205</v>
      </c>
      <c r="H116" s="99" t="s">
        <v>206</v>
      </c>
      <c r="I116" s="99" t="s">
        <v>207</v>
      </c>
      <c r="J116" s="185" t="s">
        <v>579</v>
      </c>
      <c r="K116" s="186">
        <v>153</v>
      </c>
      <c r="L116" s="187">
        <v>7</v>
      </c>
      <c r="M116" s="246">
        <f t="shared" si="92"/>
        <v>1071</v>
      </c>
      <c r="N116" s="20">
        <f t="shared" si="93"/>
        <v>7.65</v>
      </c>
      <c r="O116" s="26" t="s">
        <v>90</v>
      </c>
      <c r="P116" s="23" t="s">
        <v>605</v>
      </c>
      <c r="Q116" s="20">
        <v>30.52</v>
      </c>
      <c r="R116" s="12"/>
      <c r="T116" s="12"/>
      <c r="U116" s="12"/>
      <c r="V116"/>
      <c r="W116" s="1"/>
      <c r="X116" s="12">
        <f t="shared" si="94"/>
        <v>1111.17</v>
      </c>
      <c r="Y116" s="20">
        <v>2</v>
      </c>
      <c r="Z116" s="1"/>
      <c r="AA116" s="4"/>
      <c r="AB116" s="26">
        <v>10080</v>
      </c>
      <c r="AC116" s="30"/>
      <c r="AD116" s="30">
        <f t="shared" si="87"/>
        <v>-153</v>
      </c>
      <c r="AE116" s="1">
        <f>AF116/K116</f>
        <v>8.3000000000000007</v>
      </c>
      <c r="AF116" s="1">
        <v>1269.9000000000001</v>
      </c>
      <c r="AG116" s="10"/>
      <c r="AH116" s="11">
        <f t="shared" ref="AH116:AH166" si="97">AE116*AC116</f>
        <v>0</v>
      </c>
      <c r="AI116" s="11">
        <f t="shared" si="82"/>
        <v>-1269.9000000000001</v>
      </c>
      <c r="AJ116" s="11"/>
      <c r="AK116" s="13">
        <f t="shared" si="96"/>
        <v>8.3000000000000007</v>
      </c>
      <c r="AL116" s="11">
        <f t="shared" si="84"/>
        <v>0</v>
      </c>
      <c r="AM116" s="31"/>
      <c r="AN116"/>
      <c r="AR116"/>
    </row>
    <row r="117" spans="1:44" x14ac:dyDescent="0.3">
      <c r="A117" s="184">
        <v>46248</v>
      </c>
      <c r="B117" s="184">
        <v>46248</v>
      </c>
      <c r="C117" s="99">
        <v>0</v>
      </c>
      <c r="D117" s="184">
        <v>46248</v>
      </c>
      <c r="E117" s="99" t="s">
        <v>587</v>
      </c>
      <c r="F117" s="99">
        <v>5089860</v>
      </c>
      <c r="G117" s="99" t="s">
        <v>205</v>
      </c>
      <c r="H117" s="99" t="s">
        <v>206</v>
      </c>
      <c r="I117" s="99" t="s">
        <v>207</v>
      </c>
      <c r="J117" s="185" t="s">
        <v>504</v>
      </c>
      <c r="K117" s="186">
        <v>31</v>
      </c>
      <c r="L117" s="187">
        <v>7.5</v>
      </c>
      <c r="M117" s="246">
        <f t="shared" si="92"/>
        <v>232.5</v>
      </c>
      <c r="N117" s="20">
        <f t="shared" si="93"/>
        <v>1.55</v>
      </c>
      <c r="O117" s="26" t="s">
        <v>90</v>
      </c>
      <c r="P117" s="23" t="s">
        <v>605</v>
      </c>
      <c r="Q117" s="20">
        <v>6.18</v>
      </c>
      <c r="R117" s="12"/>
      <c r="T117" s="12"/>
      <c r="U117" s="12"/>
      <c r="V117"/>
      <c r="W117" s="1"/>
      <c r="X117" s="12">
        <f t="shared" si="94"/>
        <v>241.23</v>
      </c>
      <c r="Y117" s="20">
        <v>1</v>
      </c>
      <c r="Z117" s="1"/>
      <c r="AA117" s="4"/>
      <c r="AB117" s="26">
        <v>10080</v>
      </c>
      <c r="AC117" s="30"/>
      <c r="AD117" s="30">
        <f t="shared" si="87"/>
        <v>-31</v>
      </c>
      <c r="AE117" s="1">
        <f>AF117/K117</f>
        <v>8.3000000000000007</v>
      </c>
      <c r="AF117" s="1">
        <v>257.3</v>
      </c>
      <c r="AG117" s="10"/>
      <c r="AH117" s="11">
        <f t="shared" si="97"/>
        <v>0</v>
      </c>
      <c r="AI117" s="11">
        <f t="shared" si="82"/>
        <v>-257.3</v>
      </c>
      <c r="AJ117" s="11"/>
      <c r="AK117" s="13">
        <f t="shared" si="96"/>
        <v>8.3000000000000007</v>
      </c>
      <c r="AL117" s="11">
        <f t="shared" si="84"/>
        <v>0</v>
      </c>
      <c r="AM117" s="31"/>
      <c r="AN117"/>
      <c r="AR117"/>
    </row>
    <row r="118" spans="1:44" x14ac:dyDescent="0.3">
      <c r="A118" s="3">
        <v>46248</v>
      </c>
      <c r="B118" s="3">
        <v>46248</v>
      </c>
      <c r="C118">
        <v>21</v>
      </c>
      <c r="D118" s="3">
        <v>46269</v>
      </c>
      <c r="E118" s="26" t="s">
        <v>590</v>
      </c>
      <c r="F118" s="26">
        <v>44228</v>
      </c>
      <c r="G118" s="26" t="s">
        <v>532</v>
      </c>
      <c r="H118" s="26" t="s">
        <v>513</v>
      </c>
      <c r="I118" s="26" t="s">
        <v>184</v>
      </c>
      <c r="J118" s="65" t="s">
        <v>549</v>
      </c>
      <c r="K118" s="159">
        <v>2300</v>
      </c>
      <c r="L118" s="165">
        <v>7.5</v>
      </c>
      <c r="M118" s="149">
        <f t="shared" si="92"/>
        <v>17250</v>
      </c>
      <c r="N118" s="1">
        <f t="shared" si="93"/>
        <v>115</v>
      </c>
      <c r="O118" s="26" t="s">
        <v>90</v>
      </c>
      <c r="P118" s="23" t="s">
        <v>645</v>
      </c>
      <c r="Q118" s="20">
        <v>322</v>
      </c>
      <c r="R118" s="12" t="s">
        <v>26</v>
      </c>
      <c r="S118" t="s">
        <v>26</v>
      </c>
      <c r="T118" s="12">
        <v>0</v>
      </c>
      <c r="U118" s="12" t="s">
        <v>26</v>
      </c>
      <c r="V118" s="12" t="s">
        <v>26</v>
      </c>
      <c r="W118" s="1">
        <v>0</v>
      </c>
      <c r="X118" s="12">
        <f t="shared" si="94"/>
        <v>17687</v>
      </c>
      <c r="Y118" s="1"/>
      <c r="Z118" s="1"/>
      <c r="AA118" s="4"/>
      <c r="AB118" s="26">
        <v>10080</v>
      </c>
      <c r="AC118" s="30"/>
      <c r="AD118" s="30">
        <f t="shared" si="87"/>
        <v>-2300</v>
      </c>
      <c r="AE118" s="1"/>
      <c r="AF118" s="1">
        <f t="shared" si="88"/>
        <v>0</v>
      </c>
      <c r="AG118" s="10"/>
      <c r="AH118" s="11">
        <f t="shared" si="97"/>
        <v>0</v>
      </c>
      <c r="AI118" s="11">
        <f t="shared" si="82"/>
        <v>0</v>
      </c>
      <c r="AJ118" s="11"/>
      <c r="AK118" s="13">
        <f t="shared" si="96"/>
        <v>0</v>
      </c>
      <c r="AL118" s="11">
        <f t="shared" si="84"/>
        <v>0</v>
      </c>
      <c r="AM118" s="31"/>
      <c r="AN118"/>
      <c r="AR118"/>
    </row>
    <row r="119" spans="1:44" x14ac:dyDescent="0.3">
      <c r="A119" s="3">
        <v>46248</v>
      </c>
      <c r="B119" s="3">
        <v>46248</v>
      </c>
      <c r="C119">
        <v>30</v>
      </c>
      <c r="D119" s="3">
        <v>46279</v>
      </c>
      <c r="E119" s="26" t="s">
        <v>591</v>
      </c>
      <c r="F119" s="26" t="s">
        <v>654</v>
      </c>
      <c r="G119" s="26" t="s">
        <v>56</v>
      </c>
      <c r="H119" s="26" t="s">
        <v>58</v>
      </c>
      <c r="I119" s="26" t="s">
        <v>104</v>
      </c>
      <c r="J119" s="23" t="s">
        <v>549</v>
      </c>
      <c r="K119" s="30">
        <v>1000</v>
      </c>
      <c r="L119" s="165">
        <v>7.85</v>
      </c>
      <c r="M119" s="20">
        <f t="shared" si="92"/>
        <v>7850</v>
      </c>
      <c r="N119" s="20">
        <f t="shared" si="93"/>
        <v>50</v>
      </c>
      <c r="O119" s="26" t="s">
        <v>90</v>
      </c>
      <c r="P119" s="23" t="s">
        <v>644</v>
      </c>
      <c r="Q119" s="20">
        <v>160</v>
      </c>
      <c r="R119" t="s">
        <v>26</v>
      </c>
      <c r="S119" t="s">
        <v>26</v>
      </c>
      <c r="T119" s="1">
        <v>0</v>
      </c>
      <c r="U119" t="s">
        <v>26</v>
      </c>
      <c r="V119" t="s">
        <v>26</v>
      </c>
      <c r="W119" s="1">
        <v>0</v>
      </c>
      <c r="X119" s="12">
        <f t="shared" si="94"/>
        <v>8060</v>
      </c>
      <c r="Y119" s="11"/>
      <c r="Z119" s="1">
        <f t="shared" ref="Z119" si="98">X119/K119</f>
        <v>8.06</v>
      </c>
      <c r="AA119" s="4"/>
      <c r="AB119" s="26">
        <v>10080</v>
      </c>
      <c r="AC119" s="30"/>
      <c r="AD119" s="30">
        <f t="shared" si="87"/>
        <v>-1000</v>
      </c>
      <c r="AF119" s="1">
        <f t="shared" ref="AF119:AF166" si="99">AE119*K119</f>
        <v>0</v>
      </c>
      <c r="AG119" s="10"/>
      <c r="AH119" s="11">
        <f t="shared" si="97"/>
        <v>0</v>
      </c>
      <c r="AI119" s="11">
        <f t="shared" si="82"/>
        <v>0</v>
      </c>
      <c r="AJ119" s="11"/>
      <c r="AK119" s="13">
        <f t="shared" si="96"/>
        <v>-8.06</v>
      </c>
      <c r="AL119" s="11">
        <f t="shared" si="84"/>
        <v>0</v>
      </c>
      <c r="AN119"/>
      <c r="AR119"/>
    </row>
    <row r="120" spans="1:44" x14ac:dyDescent="0.3">
      <c r="A120" s="3">
        <v>46248</v>
      </c>
      <c r="B120" s="3">
        <v>46249</v>
      </c>
      <c r="C120">
        <v>21</v>
      </c>
      <c r="D120" s="4">
        <v>46269</v>
      </c>
      <c r="E120" s="26" t="s">
        <v>595</v>
      </c>
      <c r="F120" s="26">
        <v>44230</v>
      </c>
      <c r="G120" s="26" t="s">
        <v>532</v>
      </c>
      <c r="H120" s="26" t="s">
        <v>513</v>
      </c>
      <c r="I120" s="26" t="s">
        <v>184</v>
      </c>
      <c r="J120" s="65" t="s">
        <v>549</v>
      </c>
      <c r="K120" s="158">
        <v>400</v>
      </c>
      <c r="L120" s="166">
        <v>7.5</v>
      </c>
      <c r="M120" s="20">
        <f t="shared" si="92"/>
        <v>3000</v>
      </c>
      <c r="N120" s="20">
        <f t="shared" si="93"/>
        <v>20</v>
      </c>
      <c r="O120" s="26" t="s">
        <v>246</v>
      </c>
      <c r="P120" s="23" t="s">
        <v>246</v>
      </c>
      <c r="Q120" s="20">
        <v>0</v>
      </c>
      <c r="R120" s="29" t="s">
        <v>26</v>
      </c>
      <c r="S120" s="26" t="s">
        <v>246</v>
      </c>
      <c r="T120" s="29">
        <v>0</v>
      </c>
      <c r="U120" s="29" t="s">
        <v>246</v>
      </c>
      <c r="V120" s="26" t="s">
        <v>246</v>
      </c>
      <c r="W120" s="20">
        <v>0</v>
      </c>
      <c r="X120" s="12">
        <f t="shared" si="94"/>
        <v>3020</v>
      </c>
      <c r="Y120" s="11"/>
      <c r="Z120" s="11"/>
      <c r="AA120" s="4"/>
      <c r="AB120" s="26">
        <v>10081</v>
      </c>
      <c r="AC120" s="30"/>
      <c r="AD120" s="28">
        <f t="shared" si="87"/>
        <v>-400</v>
      </c>
      <c r="AE120" s="1"/>
      <c r="AF120" s="1">
        <f t="shared" si="99"/>
        <v>0</v>
      </c>
      <c r="AG120" s="10"/>
      <c r="AH120" s="11">
        <f t="shared" si="97"/>
        <v>0</v>
      </c>
      <c r="AI120" s="11">
        <f t="shared" si="82"/>
        <v>0</v>
      </c>
      <c r="AJ120" s="11"/>
      <c r="AK120" s="13">
        <f t="shared" si="96"/>
        <v>0</v>
      </c>
      <c r="AL120" s="11">
        <f t="shared" si="84"/>
        <v>0</v>
      </c>
      <c r="AM120" s="17"/>
      <c r="AN120"/>
      <c r="AR120"/>
    </row>
    <row r="121" spans="1:44" x14ac:dyDescent="0.3">
      <c r="A121" s="3">
        <v>46248</v>
      </c>
      <c r="B121" s="3">
        <v>46250</v>
      </c>
      <c r="C121">
        <v>21</v>
      </c>
      <c r="D121" s="4">
        <v>46269</v>
      </c>
      <c r="E121" s="26" t="s">
        <v>596</v>
      </c>
      <c r="F121" s="26">
        <v>44229</v>
      </c>
      <c r="G121" s="26" t="s">
        <v>532</v>
      </c>
      <c r="H121" s="26" t="s">
        <v>513</v>
      </c>
      <c r="I121" s="26" t="s">
        <v>184</v>
      </c>
      <c r="J121" s="65" t="s">
        <v>549</v>
      </c>
      <c r="K121" s="80">
        <v>250</v>
      </c>
      <c r="L121" s="165">
        <v>7.25</v>
      </c>
      <c r="M121" s="20">
        <f t="shared" si="92"/>
        <v>1812.5</v>
      </c>
      <c r="N121" s="20">
        <f t="shared" si="93"/>
        <v>12.5</v>
      </c>
      <c r="O121" s="26"/>
      <c r="P121" s="23" t="s">
        <v>26</v>
      </c>
      <c r="Q121" s="20">
        <v>0</v>
      </c>
      <c r="R121" s="29" t="s">
        <v>26</v>
      </c>
      <c r="S121" s="26" t="s">
        <v>26</v>
      </c>
      <c r="T121" s="29">
        <v>0</v>
      </c>
      <c r="U121" s="29" t="s">
        <v>26</v>
      </c>
      <c r="V121" s="29" t="s">
        <v>26</v>
      </c>
      <c r="W121" s="20">
        <v>0</v>
      </c>
      <c r="X121" s="12">
        <f>W121+T121+Q121+N121+M121+Y121</f>
        <v>1825</v>
      </c>
      <c r="Y121" s="20"/>
      <c r="Z121" s="20"/>
      <c r="AA121" s="4"/>
      <c r="AB121" s="26">
        <v>10082</v>
      </c>
      <c r="AC121" s="30"/>
      <c r="AD121" s="28">
        <f t="shared" ref="AD121:AD166" si="100">AC121-K121</f>
        <v>-250</v>
      </c>
      <c r="AE121" s="1"/>
      <c r="AF121" s="1">
        <f t="shared" si="99"/>
        <v>0</v>
      </c>
      <c r="AG121" s="10"/>
      <c r="AH121" s="11">
        <f t="shared" si="97"/>
        <v>0</v>
      </c>
      <c r="AI121" s="11">
        <f t="shared" si="82"/>
        <v>0</v>
      </c>
      <c r="AJ121" s="11"/>
      <c r="AK121" s="13">
        <f t="shared" si="96"/>
        <v>0</v>
      </c>
      <c r="AL121" s="11">
        <f t="shared" si="84"/>
        <v>0</v>
      </c>
      <c r="AM121" s="17"/>
      <c r="AN121"/>
      <c r="AR121"/>
    </row>
    <row r="122" spans="1:44" x14ac:dyDescent="0.3">
      <c r="A122" s="3">
        <v>46248</v>
      </c>
      <c r="B122" s="3">
        <v>46251</v>
      </c>
      <c r="C122">
        <v>30</v>
      </c>
      <c r="D122" s="4">
        <v>46279</v>
      </c>
      <c r="E122" s="26" t="s">
        <v>602</v>
      </c>
      <c r="F122" s="85"/>
      <c r="G122" s="26" t="s">
        <v>56</v>
      </c>
      <c r="H122" s="26" t="s">
        <v>58</v>
      </c>
      <c r="I122" s="26" t="s">
        <v>104</v>
      </c>
      <c r="J122" s="2" t="s">
        <v>597</v>
      </c>
      <c r="K122" s="109">
        <v>22800</v>
      </c>
      <c r="L122" s="167">
        <v>2.5</v>
      </c>
      <c r="M122" s="20">
        <f t="shared" si="92"/>
        <v>57000</v>
      </c>
      <c r="N122" s="20">
        <f t="shared" si="93"/>
        <v>1140</v>
      </c>
      <c r="O122" s="26" t="s">
        <v>26</v>
      </c>
      <c r="P122" s="23" t="s">
        <v>26</v>
      </c>
      <c r="Q122" s="20">
        <v>0</v>
      </c>
      <c r="R122" s="29" t="s">
        <v>26</v>
      </c>
      <c r="S122" s="26" t="s">
        <v>26</v>
      </c>
      <c r="T122" s="29">
        <v>0</v>
      </c>
      <c r="U122" s="29" t="s">
        <v>26</v>
      </c>
      <c r="V122" s="26" t="s">
        <v>26</v>
      </c>
      <c r="W122" s="20">
        <v>0</v>
      </c>
      <c r="X122" s="12">
        <f t="shared" ref="X122:X124" si="101">W122+T122+Q122+N122+M122+Y122</f>
        <v>58140</v>
      </c>
      <c r="Y122" s="11"/>
      <c r="Z122" s="11"/>
      <c r="AA122" s="4"/>
      <c r="AB122" s="26">
        <v>10083</v>
      </c>
      <c r="AC122" s="30"/>
      <c r="AD122" s="28">
        <f t="shared" si="100"/>
        <v>-22800</v>
      </c>
      <c r="AE122" s="1"/>
      <c r="AF122" s="1">
        <f t="shared" si="99"/>
        <v>0</v>
      </c>
      <c r="AG122" s="10"/>
      <c r="AH122" s="11">
        <f t="shared" si="97"/>
        <v>0</v>
      </c>
      <c r="AI122" s="11">
        <f t="shared" si="82"/>
        <v>0</v>
      </c>
      <c r="AJ122" s="11"/>
      <c r="AK122" s="13">
        <f t="shared" si="96"/>
        <v>0</v>
      </c>
      <c r="AL122" s="11">
        <f t="shared" si="84"/>
        <v>0</v>
      </c>
      <c r="AM122" s="17"/>
      <c r="AN122"/>
      <c r="AR122"/>
    </row>
    <row r="123" spans="1:44" x14ac:dyDescent="0.3">
      <c r="A123" s="3">
        <v>46248</v>
      </c>
      <c r="B123" s="3">
        <v>46251</v>
      </c>
      <c r="C123">
        <v>14</v>
      </c>
      <c r="D123" s="4">
        <v>46269</v>
      </c>
      <c r="E123" s="26" t="s">
        <v>603</v>
      </c>
      <c r="F123" s="99" t="s">
        <v>613</v>
      </c>
      <c r="G123" s="99" t="s">
        <v>57</v>
      </c>
      <c r="H123" s="99" t="s">
        <v>59</v>
      </c>
      <c r="I123" s="99" t="s">
        <v>104</v>
      </c>
      <c r="J123" s="185" t="s">
        <v>109</v>
      </c>
      <c r="K123" s="186">
        <v>1002.85</v>
      </c>
      <c r="L123" s="187">
        <v>11.95</v>
      </c>
      <c r="M123" s="98">
        <f>L123*K123</f>
        <v>11984.057499999999</v>
      </c>
      <c r="N123" s="20">
        <f>0.05*K123</f>
        <v>50.142500000000005</v>
      </c>
      <c r="O123" s="26" t="s">
        <v>157</v>
      </c>
      <c r="P123" s="88">
        <v>105558</v>
      </c>
      <c r="Q123" s="20">
        <v>512.15</v>
      </c>
      <c r="R123" s="29" t="s">
        <v>26</v>
      </c>
      <c r="S123" s="26" t="s">
        <v>26</v>
      </c>
      <c r="T123" s="29">
        <v>0</v>
      </c>
      <c r="U123" s="29" t="s">
        <v>26</v>
      </c>
      <c r="V123" s="29" t="s">
        <v>26</v>
      </c>
      <c r="W123" s="20">
        <v>0</v>
      </c>
      <c r="X123" s="12">
        <f t="shared" si="101"/>
        <v>12561.349999999999</v>
      </c>
      <c r="Y123" s="98">
        <v>15</v>
      </c>
      <c r="Z123" s="11"/>
      <c r="AA123" s="4"/>
      <c r="AB123" s="26">
        <v>10084</v>
      </c>
      <c r="AC123" s="30"/>
      <c r="AD123" s="28">
        <f t="shared" si="100"/>
        <v>-1002.85</v>
      </c>
      <c r="AE123" s="1"/>
      <c r="AF123" s="1">
        <f t="shared" si="99"/>
        <v>0</v>
      </c>
      <c r="AG123" s="10"/>
      <c r="AH123" s="11">
        <f t="shared" si="97"/>
        <v>0</v>
      </c>
      <c r="AI123" s="11">
        <f t="shared" si="82"/>
        <v>0</v>
      </c>
      <c r="AJ123" s="11"/>
      <c r="AK123" s="13">
        <f t="shared" si="96"/>
        <v>0</v>
      </c>
      <c r="AL123" s="11">
        <f t="shared" si="84"/>
        <v>0</v>
      </c>
      <c r="AM123" s="17"/>
      <c r="AN123"/>
      <c r="AR123"/>
    </row>
    <row r="124" spans="1:44" x14ac:dyDescent="0.3">
      <c r="A124" s="3">
        <v>46248</v>
      </c>
      <c r="B124" s="3">
        <v>46251</v>
      </c>
      <c r="C124">
        <v>30</v>
      </c>
      <c r="D124" s="3">
        <v>46279</v>
      </c>
      <c r="E124" s="26" t="s">
        <v>604</v>
      </c>
      <c r="F124" s="26">
        <v>44239</v>
      </c>
      <c r="G124" s="26" t="s">
        <v>532</v>
      </c>
      <c r="H124" s="26" t="s">
        <v>513</v>
      </c>
      <c r="I124" s="26" t="s">
        <v>184</v>
      </c>
      <c r="J124" s="108" t="s">
        <v>549</v>
      </c>
      <c r="K124" s="109">
        <v>300</v>
      </c>
      <c r="L124" s="167">
        <v>7.25</v>
      </c>
      <c r="M124" s="20">
        <f t="shared" si="92"/>
        <v>2175</v>
      </c>
      <c r="N124" s="20">
        <f t="shared" si="93"/>
        <v>15</v>
      </c>
      <c r="O124" s="26" t="s">
        <v>26</v>
      </c>
      <c r="P124" s="23" t="s">
        <v>26</v>
      </c>
      <c r="Q124" s="20">
        <v>0</v>
      </c>
      <c r="R124" s="29" t="s">
        <v>26</v>
      </c>
      <c r="S124" s="26" t="s">
        <v>26</v>
      </c>
      <c r="T124" s="29">
        <v>0</v>
      </c>
      <c r="U124" s="29" t="s">
        <v>26</v>
      </c>
      <c r="V124" s="26" t="s">
        <v>26</v>
      </c>
      <c r="W124" s="20">
        <v>0</v>
      </c>
      <c r="X124" s="12">
        <f t="shared" si="101"/>
        <v>2190</v>
      </c>
      <c r="Y124" s="11"/>
      <c r="Z124" s="11"/>
      <c r="AA124" s="4"/>
      <c r="AB124" s="26">
        <v>10085</v>
      </c>
      <c r="AC124" s="30"/>
      <c r="AD124" s="28">
        <f t="shared" si="100"/>
        <v>-300</v>
      </c>
      <c r="AE124" s="1"/>
      <c r="AF124" s="1">
        <f t="shared" si="99"/>
        <v>0</v>
      </c>
      <c r="AG124" s="10"/>
      <c r="AH124" s="11">
        <f t="shared" si="97"/>
        <v>0</v>
      </c>
      <c r="AI124" s="11">
        <f t="shared" si="82"/>
        <v>0</v>
      </c>
      <c r="AJ124" s="11"/>
      <c r="AK124" s="13">
        <f t="shared" si="96"/>
        <v>0</v>
      </c>
      <c r="AL124" s="11">
        <f t="shared" si="84"/>
        <v>0</v>
      </c>
      <c r="AM124" s="17"/>
      <c r="AN124"/>
      <c r="AR124"/>
    </row>
    <row r="125" spans="1:44" x14ac:dyDescent="0.3">
      <c r="A125" s="184">
        <v>46251</v>
      </c>
      <c r="B125" s="184">
        <v>46251</v>
      </c>
      <c r="C125" s="99">
        <v>0</v>
      </c>
      <c r="D125" s="184">
        <v>46251</v>
      </c>
      <c r="E125" s="99" t="s">
        <v>606</v>
      </c>
      <c r="F125" s="99">
        <v>141312</v>
      </c>
      <c r="G125" s="99" t="s">
        <v>188</v>
      </c>
      <c r="H125" s="99" t="s">
        <v>540</v>
      </c>
      <c r="I125" s="99" t="s">
        <v>541</v>
      </c>
      <c r="J125" s="185" t="s">
        <v>122</v>
      </c>
      <c r="K125" s="186">
        <v>742.56</v>
      </c>
      <c r="L125" s="187">
        <v>6.55</v>
      </c>
      <c r="M125" s="98">
        <f t="shared" si="92"/>
        <v>4863.7679999999991</v>
      </c>
      <c r="N125" s="98">
        <f t="shared" si="93"/>
        <v>37.128</v>
      </c>
      <c r="O125" s="26" t="s">
        <v>582</v>
      </c>
      <c r="P125" s="16" t="s">
        <v>27</v>
      </c>
      <c r="Q125" s="11">
        <f>0.08*K125</f>
        <v>59.404799999999994</v>
      </c>
      <c r="R125" s="29" t="s">
        <v>246</v>
      </c>
      <c r="S125" s="26" t="s">
        <v>246</v>
      </c>
      <c r="T125" s="29">
        <v>0</v>
      </c>
      <c r="U125" s="29" t="s">
        <v>246</v>
      </c>
      <c r="V125" s="29" t="s">
        <v>26</v>
      </c>
      <c r="W125" s="20">
        <v>0</v>
      </c>
      <c r="X125" s="12">
        <f>W125+T125+Q125+N125+M125+Y125</f>
        <v>4960.3007999999991</v>
      </c>
      <c r="Y125" s="11"/>
      <c r="Z125" s="11"/>
      <c r="AA125" s="4"/>
      <c r="AB125" s="26">
        <v>10087</v>
      </c>
      <c r="AC125" s="30"/>
      <c r="AD125" s="28">
        <f t="shared" si="100"/>
        <v>-742.56</v>
      </c>
      <c r="AE125" s="1"/>
      <c r="AF125" s="1">
        <f t="shared" si="99"/>
        <v>0</v>
      </c>
      <c r="AG125" s="10"/>
      <c r="AH125" s="11">
        <f t="shared" si="97"/>
        <v>0</v>
      </c>
      <c r="AI125" s="11">
        <f t="shared" si="82"/>
        <v>0</v>
      </c>
      <c r="AJ125" s="11"/>
      <c r="AK125" s="13">
        <f t="shared" si="96"/>
        <v>0</v>
      </c>
      <c r="AL125" s="11">
        <f t="shared" si="84"/>
        <v>0</v>
      </c>
      <c r="AM125" s="17"/>
      <c r="AN125"/>
      <c r="AR125"/>
    </row>
    <row r="126" spans="1:44" x14ac:dyDescent="0.3">
      <c r="A126" s="184">
        <v>46251</v>
      </c>
      <c r="B126" s="184">
        <v>46251</v>
      </c>
      <c r="C126" s="99">
        <v>0</v>
      </c>
      <c r="D126" s="184">
        <v>46251</v>
      </c>
      <c r="E126" s="99" t="s">
        <v>606</v>
      </c>
      <c r="F126" s="99">
        <v>141312</v>
      </c>
      <c r="G126" s="99" t="s">
        <v>188</v>
      </c>
      <c r="H126" s="99" t="s">
        <v>540</v>
      </c>
      <c r="I126" s="99" t="s">
        <v>541</v>
      </c>
      <c r="J126" s="185" t="s">
        <v>609</v>
      </c>
      <c r="K126" s="186">
        <v>51.15</v>
      </c>
      <c r="L126" s="187">
        <v>5.05</v>
      </c>
      <c r="M126" s="98">
        <f t="shared" si="92"/>
        <v>258.3075</v>
      </c>
      <c r="N126" s="98">
        <f t="shared" si="93"/>
        <v>2.5575000000000001</v>
      </c>
      <c r="O126" s="26"/>
      <c r="P126" s="16"/>
      <c r="Q126" s="11"/>
      <c r="R126" s="29"/>
      <c r="S126" s="26"/>
      <c r="T126" s="29"/>
      <c r="U126" s="29"/>
      <c r="V126" s="26"/>
      <c r="W126" s="20"/>
      <c r="X126" s="89"/>
      <c r="Y126" s="11"/>
      <c r="Z126" s="11"/>
      <c r="AA126" s="4"/>
      <c r="AB126" s="26">
        <v>10087</v>
      </c>
      <c r="AC126" s="30"/>
      <c r="AD126" s="28">
        <f t="shared" si="100"/>
        <v>-51.15</v>
      </c>
      <c r="AE126" s="1"/>
      <c r="AF126" s="1">
        <f t="shared" si="99"/>
        <v>0</v>
      </c>
      <c r="AG126" s="10"/>
      <c r="AH126" s="11">
        <f t="shared" si="97"/>
        <v>0</v>
      </c>
      <c r="AI126" s="11">
        <f t="shared" si="82"/>
        <v>0</v>
      </c>
      <c r="AJ126" s="11"/>
      <c r="AK126" s="13">
        <f t="shared" si="96"/>
        <v>0</v>
      </c>
      <c r="AL126" s="11">
        <f t="shared" si="84"/>
        <v>0</v>
      </c>
      <c r="AM126" s="17"/>
      <c r="AN126"/>
      <c r="AR126"/>
    </row>
    <row r="127" spans="1:44" x14ac:dyDescent="0.3">
      <c r="A127" s="3">
        <v>46251</v>
      </c>
      <c r="B127" s="3">
        <v>46252</v>
      </c>
      <c r="C127">
        <v>21</v>
      </c>
      <c r="D127" s="3">
        <v>46272</v>
      </c>
      <c r="E127" s="26" t="s">
        <v>631</v>
      </c>
      <c r="F127" s="26">
        <v>104975</v>
      </c>
      <c r="G127" s="26" t="s">
        <v>611</v>
      </c>
      <c r="H127" s="26" t="s">
        <v>612</v>
      </c>
      <c r="I127" s="26" t="s">
        <v>184</v>
      </c>
      <c r="J127" s="108" t="s">
        <v>549</v>
      </c>
      <c r="K127" s="159">
        <v>2000</v>
      </c>
      <c r="L127" s="167">
        <v>8.25</v>
      </c>
      <c r="M127" s="20">
        <f t="shared" si="92"/>
        <v>16500</v>
      </c>
      <c r="N127" s="20">
        <f t="shared" si="93"/>
        <v>100</v>
      </c>
      <c r="O127" s="26" t="s">
        <v>90</v>
      </c>
      <c r="P127" s="23" t="s">
        <v>688</v>
      </c>
      <c r="Q127" s="20">
        <v>280</v>
      </c>
      <c r="R127" s="29" t="s">
        <v>26</v>
      </c>
      <c r="S127" s="26" t="s">
        <v>26</v>
      </c>
      <c r="T127" s="29">
        <v>0</v>
      </c>
      <c r="U127" s="29" t="s">
        <v>26</v>
      </c>
      <c r="V127" s="29" t="s">
        <v>26</v>
      </c>
      <c r="W127" s="20">
        <v>0</v>
      </c>
      <c r="X127" s="12"/>
      <c r="Y127" s="11"/>
      <c r="Z127" s="11"/>
      <c r="AA127" s="4"/>
      <c r="AB127" s="26">
        <v>10088</v>
      </c>
      <c r="AC127" s="30"/>
      <c r="AD127" s="28">
        <f t="shared" si="100"/>
        <v>-2000</v>
      </c>
      <c r="AE127" s="1"/>
      <c r="AF127" s="1">
        <f t="shared" si="99"/>
        <v>0</v>
      </c>
      <c r="AG127" s="10"/>
      <c r="AH127" s="11">
        <f t="shared" si="97"/>
        <v>0</v>
      </c>
      <c r="AI127" s="11">
        <f t="shared" si="82"/>
        <v>0</v>
      </c>
      <c r="AJ127" s="11"/>
      <c r="AK127" s="13">
        <f t="shared" si="96"/>
        <v>0</v>
      </c>
      <c r="AL127" s="11">
        <f t="shared" si="84"/>
        <v>0</v>
      </c>
      <c r="AM127" s="17"/>
      <c r="AN127"/>
      <c r="AR127"/>
    </row>
    <row r="128" spans="1:44" x14ac:dyDescent="0.3">
      <c r="A128" s="3">
        <v>46251</v>
      </c>
      <c r="B128" s="3">
        <v>46252</v>
      </c>
      <c r="C128">
        <v>21</v>
      </c>
      <c r="D128" s="3">
        <v>46272</v>
      </c>
      <c r="E128" s="26" t="s">
        <v>632</v>
      </c>
      <c r="F128" s="26">
        <v>75917</v>
      </c>
      <c r="G128" s="26" t="s">
        <v>145</v>
      </c>
      <c r="H128" s="26" t="s">
        <v>633</v>
      </c>
      <c r="I128" s="26" t="s">
        <v>230</v>
      </c>
      <c r="J128" s="65" t="s">
        <v>504</v>
      </c>
      <c r="K128" s="159">
        <v>1914</v>
      </c>
      <c r="L128" s="165">
        <v>7.3</v>
      </c>
      <c r="M128" s="20">
        <f t="shared" ref="M128" si="102">L128*K128</f>
        <v>13972.199999999999</v>
      </c>
      <c r="N128" s="20">
        <f t="shared" ref="N128" si="103">0.05*K128</f>
        <v>95.7</v>
      </c>
      <c r="O128" s="26" t="s">
        <v>88</v>
      </c>
      <c r="P128" s="16" t="s">
        <v>699</v>
      </c>
      <c r="Q128" s="11">
        <v>1710</v>
      </c>
      <c r="R128" s="29" t="s">
        <v>90</v>
      </c>
      <c r="S128" s="26" t="s">
        <v>682</v>
      </c>
      <c r="T128" s="29">
        <v>196</v>
      </c>
      <c r="U128" s="29" t="s">
        <v>26</v>
      </c>
      <c r="V128" s="26" t="s">
        <v>26</v>
      </c>
      <c r="W128" s="20">
        <v>0</v>
      </c>
      <c r="X128" s="12"/>
      <c r="Y128" s="11"/>
      <c r="Z128" s="11"/>
      <c r="AA128" s="4"/>
      <c r="AB128" s="26">
        <v>10091</v>
      </c>
      <c r="AC128" s="30"/>
      <c r="AD128" s="28">
        <f t="shared" ref="AD128" si="104">AC128-K128</f>
        <v>-1914</v>
      </c>
      <c r="AE128" s="1"/>
      <c r="AF128" s="1">
        <f t="shared" ref="AF128" si="105">AE128*K128</f>
        <v>0</v>
      </c>
      <c r="AG128" s="10"/>
      <c r="AH128" s="11">
        <f t="shared" ref="AH128" si="106">AE128*AC128</f>
        <v>0</v>
      </c>
      <c r="AI128" s="11">
        <f t="shared" si="82"/>
        <v>0</v>
      </c>
      <c r="AJ128" s="11"/>
      <c r="AK128" s="13">
        <f t="shared" ref="AK128" si="107">AE128-Z128</f>
        <v>0</v>
      </c>
      <c r="AL128" s="11">
        <f t="shared" si="84"/>
        <v>0</v>
      </c>
      <c r="AM128" s="17"/>
      <c r="AN128"/>
      <c r="AR128"/>
    </row>
    <row r="129" spans="1:44" x14ac:dyDescent="0.3">
      <c r="A129" s="3">
        <v>46252</v>
      </c>
      <c r="B129" s="3">
        <v>46252</v>
      </c>
      <c r="C129">
        <v>21</v>
      </c>
      <c r="D129" s="4">
        <v>46273</v>
      </c>
      <c r="E129" s="26" t="s">
        <v>636</v>
      </c>
      <c r="G129" s="26" t="s">
        <v>145</v>
      </c>
      <c r="H129" s="26" t="s">
        <v>633</v>
      </c>
      <c r="I129" s="26" t="s">
        <v>230</v>
      </c>
      <c r="J129" s="108" t="s">
        <v>240</v>
      </c>
      <c r="K129" s="109">
        <v>1040</v>
      </c>
      <c r="L129" s="167">
        <v>8</v>
      </c>
      <c r="M129" s="20">
        <f t="shared" si="92"/>
        <v>8320</v>
      </c>
      <c r="N129" s="20">
        <f t="shared" si="93"/>
        <v>52</v>
      </c>
      <c r="O129" s="26" t="s">
        <v>157</v>
      </c>
      <c r="P129" s="16" t="s">
        <v>27</v>
      </c>
      <c r="Q129" s="11">
        <v>676</v>
      </c>
      <c r="R129" s="13" t="s">
        <v>90</v>
      </c>
      <c r="S129" s="10" t="s">
        <v>703</v>
      </c>
      <c r="T129" s="13"/>
      <c r="U129" s="29" t="s">
        <v>26</v>
      </c>
      <c r="V129" s="29" t="s">
        <v>26</v>
      </c>
      <c r="W129" s="20">
        <v>0</v>
      </c>
      <c r="X129" s="12"/>
      <c r="Y129" s="11"/>
      <c r="Z129" s="1"/>
      <c r="AA129" s="4"/>
      <c r="AB129" s="240" t="s">
        <v>713</v>
      </c>
      <c r="AC129" s="30"/>
      <c r="AD129" s="28">
        <f t="shared" si="100"/>
        <v>-1040</v>
      </c>
      <c r="AE129" s="1"/>
      <c r="AF129" s="1">
        <f t="shared" si="99"/>
        <v>0</v>
      </c>
      <c r="AG129" s="10"/>
      <c r="AH129" s="11">
        <f t="shared" si="97"/>
        <v>0</v>
      </c>
      <c r="AI129" s="11">
        <f t="shared" si="82"/>
        <v>0</v>
      </c>
      <c r="AJ129" s="11"/>
      <c r="AK129" s="13">
        <f t="shared" si="96"/>
        <v>0</v>
      </c>
      <c r="AL129" s="11">
        <f t="shared" si="84"/>
        <v>0</v>
      </c>
      <c r="AM129" s="17"/>
      <c r="AN129"/>
      <c r="AR129"/>
    </row>
    <row r="130" spans="1:44" x14ac:dyDescent="0.3">
      <c r="A130" s="3">
        <v>46252</v>
      </c>
      <c r="B130" s="3">
        <v>46252</v>
      </c>
      <c r="C130">
        <v>0</v>
      </c>
      <c r="D130" s="4">
        <v>46252</v>
      </c>
      <c r="E130" s="26" t="s">
        <v>637</v>
      </c>
      <c r="F130" s="85"/>
      <c r="G130" s="26" t="s">
        <v>188</v>
      </c>
      <c r="H130" s="26" t="s">
        <v>540</v>
      </c>
      <c r="I130" s="26" t="s">
        <v>541</v>
      </c>
      <c r="J130" s="108" t="s">
        <v>122</v>
      </c>
      <c r="K130" s="159">
        <v>525.46</v>
      </c>
      <c r="L130" s="165">
        <v>6.65</v>
      </c>
      <c r="M130" s="20">
        <f t="shared" ref="M130:M147" si="108">L130*K130</f>
        <v>3494.3090000000007</v>
      </c>
      <c r="N130" s="20">
        <f t="shared" ref="N130:N147" si="109">0.05*K130</f>
        <v>26.273000000000003</v>
      </c>
      <c r="O130" s="26" t="s">
        <v>26</v>
      </c>
      <c r="P130" s="23" t="s">
        <v>26</v>
      </c>
      <c r="Q130" s="20">
        <v>0</v>
      </c>
      <c r="R130" s="29" t="s">
        <v>26</v>
      </c>
      <c r="S130" s="26" t="s">
        <v>26</v>
      </c>
      <c r="T130" s="29">
        <v>0</v>
      </c>
      <c r="U130" s="29" t="s">
        <v>26</v>
      </c>
      <c r="V130" s="26" t="s">
        <v>26</v>
      </c>
      <c r="W130" s="20">
        <v>0</v>
      </c>
      <c r="X130" s="12">
        <f>W130+T130+Q130+N130+M130+Y130</f>
        <v>3520.5820000000008</v>
      </c>
      <c r="Y130" s="11">
        <v>0</v>
      </c>
      <c r="Z130" s="1">
        <f t="shared" ref="Z130:Z131" si="110">X130/K130</f>
        <v>6.7000000000000011</v>
      </c>
      <c r="AA130" s="4">
        <v>46252</v>
      </c>
      <c r="AB130" s="26">
        <v>10089</v>
      </c>
      <c r="AC130" s="30">
        <v>525.46</v>
      </c>
      <c r="AD130" s="28">
        <f t="shared" ref="AD130:AD147" si="111">AC130-K130</f>
        <v>0</v>
      </c>
      <c r="AE130" s="1">
        <f>AF130/K130</f>
        <v>6.9500057092832934</v>
      </c>
      <c r="AF130" s="1">
        <v>3651.95</v>
      </c>
      <c r="AG130" s="10"/>
      <c r="AH130" s="11">
        <f>AE130*AC130</f>
        <v>3651.95</v>
      </c>
      <c r="AI130" s="11">
        <f t="shared" si="82"/>
        <v>-3651.95</v>
      </c>
      <c r="AJ130" s="11"/>
      <c r="AK130" s="13">
        <f>AE130-Z130</f>
        <v>0.25000570928329235</v>
      </c>
      <c r="AL130" s="11">
        <f t="shared" si="84"/>
        <v>131.3679999999988</v>
      </c>
      <c r="AM130" s="17"/>
      <c r="AN130"/>
      <c r="AR130"/>
    </row>
    <row r="131" spans="1:44" x14ac:dyDescent="0.3">
      <c r="A131" s="3">
        <v>46252</v>
      </c>
      <c r="B131" s="3">
        <v>46252</v>
      </c>
      <c r="C131">
        <v>0</v>
      </c>
      <c r="D131" s="4">
        <v>46252</v>
      </c>
      <c r="E131" s="26" t="s">
        <v>638</v>
      </c>
      <c r="F131" s="85"/>
      <c r="G131" s="26" t="s">
        <v>188</v>
      </c>
      <c r="H131" s="26" t="s">
        <v>540</v>
      </c>
      <c r="I131" s="26" t="s">
        <v>541</v>
      </c>
      <c r="J131" s="65" t="s">
        <v>121</v>
      </c>
      <c r="K131" s="159">
        <v>366.94</v>
      </c>
      <c r="L131" s="165">
        <v>6.45</v>
      </c>
      <c r="M131" s="20">
        <f t="shared" si="108"/>
        <v>2366.7629999999999</v>
      </c>
      <c r="N131" s="20">
        <f t="shared" si="109"/>
        <v>18.347000000000001</v>
      </c>
      <c r="O131" s="26" t="s">
        <v>26</v>
      </c>
      <c r="P131" s="23" t="s">
        <v>26</v>
      </c>
      <c r="Q131" s="20">
        <v>0</v>
      </c>
      <c r="R131" s="29" t="s">
        <v>26</v>
      </c>
      <c r="S131" s="26" t="s">
        <v>26</v>
      </c>
      <c r="T131" s="29">
        <v>0</v>
      </c>
      <c r="U131" s="29" t="s">
        <v>26</v>
      </c>
      <c r="V131" s="26" t="s">
        <v>26</v>
      </c>
      <c r="W131" s="20">
        <v>0</v>
      </c>
      <c r="X131" s="12">
        <f>W131+T131+Q131+N131+M131+Y131</f>
        <v>2385.11</v>
      </c>
      <c r="Y131" s="11">
        <v>0</v>
      </c>
      <c r="Z131" s="1">
        <f t="shared" si="110"/>
        <v>6.5</v>
      </c>
      <c r="AA131" s="4">
        <v>46252</v>
      </c>
      <c r="AB131" s="26">
        <v>10090</v>
      </c>
      <c r="AC131" s="30">
        <v>366.94</v>
      </c>
      <c r="AD131" s="28">
        <f t="shared" si="111"/>
        <v>0</v>
      </c>
      <c r="AE131" s="1">
        <f>AF131/K131</f>
        <v>6.7999945495176322</v>
      </c>
      <c r="AF131" s="1">
        <v>2495.19</v>
      </c>
      <c r="AG131" s="10"/>
      <c r="AH131" s="11">
        <f>AE131*AC131</f>
        <v>2495.19</v>
      </c>
      <c r="AI131" s="11">
        <f t="shared" si="82"/>
        <v>-2495.19</v>
      </c>
      <c r="AJ131" s="11"/>
      <c r="AK131" s="13">
        <f>AE131-Z131</f>
        <v>0.29999454951763216</v>
      </c>
      <c r="AL131" s="11">
        <f t="shared" si="84"/>
        <v>110.07999999999994</v>
      </c>
      <c r="AM131" s="31"/>
      <c r="AN131"/>
      <c r="AR131"/>
    </row>
    <row r="132" spans="1:44" x14ac:dyDescent="0.3">
      <c r="A132" s="3">
        <v>46252</v>
      </c>
      <c r="B132" s="3">
        <v>46264</v>
      </c>
      <c r="C132">
        <v>0</v>
      </c>
      <c r="D132" s="3">
        <v>46264</v>
      </c>
      <c r="E132" s="26" t="s">
        <v>648</v>
      </c>
      <c r="F132" s="99" t="s">
        <v>683</v>
      </c>
      <c r="G132" s="26" t="s">
        <v>78</v>
      </c>
      <c r="H132" s="26" t="s">
        <v>79</v>
      </c>
      <c r="I132" s="26" t="s">
        <v>230</v>
      </c>
      <c r="J132" s="108" t="s">
        <v>646</v>
      </c>
      <c r="K132" s="186">
        <v>38500</v>
      </c>
      <c r="L132" s="187">
        <v>7.5</v>
      </c>
      <c r="M132" s="98">
        <f t="shared" si="108"/>
        <v>288750</v>
      </c>
      <c r="N132" s="20">
        <f t="shared" si="109"/>
        <v>1925</v>
      </c>
      <c r="O132" s="26" t="s">
        <v>289</v>
      </c>
      <c r="P132" s="16" t="s">
        <v>27</v>
      </c>
      <c r="Q132" s="20">
        <v>9000</v>
      </c>
      <c r="R132" s="29" t="s">
        <v>26</v>
      </c>
      <c r="S132" s="26" t="s">
        <v>26</v>
      </c>
      <c r="T132" s="29">
        <v>0</v>
      </c>
      <c r="U132" s="29" t="s">
        <v>26</v>
      </c>
      <c r="V132" s="29" t="s">
        <v>26</v>
      </c>
      <c r="W132" s="20">
        <v>0</v>
      </c>
      <c r="X132" s="12"/>
      <c r="Y132" s="20"/>
      <c r="Z132" s="1"/>
      <c r="AA132" s="4"/>
      <c r="AB132" s="247">
        <v>10092</v>
      </c>
      <c r="AC132" s="193">
        <v>38500</v>
      </c>
      <c r="AD132" s="193">
        <f t="shared" si="111"/>
        <v>0</v>
      </c>
      <c r="AE132" s="201">
        <v>7.9</v>
      </c>
      <c r="AF132" s="201">
        <f>AE132*K132</f>
        <v>304150</v>
      </c>
      <c r="AG132" s="10"/>
      <c r="AH132" s="11">
        <f>AE132*AC132</f>
        <v>304150</v>
      </c>
      <c r="AI132" s="11">
        <f t="shared" si="82"/>
        <v>-304150</v>
      </c>
      <c r="AJ132" s="11"/>
      <c r="AK132" s="13">
        <f>AE132-Z132</f>
        <v>7.9</v>
      </c>
      <c r="AL132" s="11">
        <f t="shared" si="84"/>
        <v>304150</v>
      </c>
      <c r="AM132" s="31"/>
      <c r="AN132"/>
      <c r="AR132"/>
    </row>
    <row r="133" spans="1:44" x14ac:dyDescent="0.3">
      <c r="A133" s="3">
        <v>46253</v>
      </c>
      <c r="B133" s="3">
        <v>46255</v>
      </c>
      <c r="C133">
        <v>14</v>
      </c>
      <c r="D133" s="3">
        <v>46267</v>
      </c>
      <c r="E133" s="26" t="s">
        <v>651</v>
      </c>
      <c r="F133" s="85"/>
      <c r="G133" s="26" t="s">
        <v>76</v>
      </c>
      <c r="H133" s="26" t="s">
        <v>77</v>
      </c>
      <c r="I133" s="26" t="s">
        <v>230</v>
      </c>
      <c r="J133" s="108" t="s">
        <v>109</v>
      </c>
      <c r="K133" s="109">
        <v>400</v>
      </c>
      <c r="L133" s="167">
        <v>11.95</v>
      </c>
      <c r="M133" s="20">
        <f t="shared" si="108"/>
        <v>4780</v>
      </c>
      <c r="N133" s="20">
        <f t="shared" si="109"/>
        <v>20</v>
      </c>
      <c r="O133" s="26" t="s">
        <v>26</v>
      </c>
      <c r="P133" s="23" t="s">
        <v>26</v>
      </c>
      <c r="Q133" s="20">
        <v>0</v>
      </c>
      <c r="R133" s="13" t="s">
        <v>90</v>
      </c>
      <c r="S133" s="10" t="s">
        <v>697</v>
      </c>
      <c r="T133" s="13">
        <v>130.36000000000001</v>
      </c>
      <c r="U133" s="29" t="s">
        <v>26</v>
      </c>
      <c r="V133" s="26" t="s">
        <v>26</v>
      </c>
      <c r="W133" s="20">
        <v>0</v>
      </c>
      <c r="X133" s="12"/>
      <c r="Y133" s="20"/>
      <c r="Z133" s="1"/>
      <c r="AA133" s="4"/>
      <c r="AB133" s="26">
        <v>10094</v>
      </c>
      <c r="AC133" s="30"/>
      <c r="AD133" s="28">
        <f t="shared" si="111"/>
        <v>-400</v>
      </c>
      <c r="AE133" s="1"/>
      <c r="AF133" s="1">
        <f>AE133*K133</f>
        <v>0</v>
      </c>
      <c r="AG133" s="10"/>
      <c r="AH133" s="11">
        <f>AE133*AC133</f>
        <v>0</v>
      </c>
      <c r="AI133" s="11">
        <f t="shared" si="82"/>
        <v>0</v>
      </c>
      <c r="AJ133" s="11"/>
      <c r="AK133" s="13">
        <f>AE133-Z133</f>
        <v>0</v>
      </c>
      <c r="AL133" s="11">
        <f t="shared" si="84"/>
        <v>0</v>
      </c>
      <c r="AM133" s="31"/>
      <c r="AN133"/>
      <c r="AR133"/>
    </row>
    <row r="134" spans="1:44" x14ac:dyDescent="0.3">
      <c r="A134" s="3">
        <v>46253</v>
      </c>
      <c r="B134" s="3">
        <v>46256</v>
      </c>
      <c r="C134">
        <v>14</v>
      </c>
      <c r="D134" s="3">
        <v>46267</v>
      </c>
      <c r="E134" s="26" t="s">
        <v>655</v>
      </c>
      <c r="F134" s="239">
        <v>28717</v>
      </c>
      <c r="G134" s="26" t="s">
        <v>76</v>
      </c>
      <c r="H134" s="26" t="s">
        <v>77</v>
      </c>
      <c r="I134" s="26" t="s">
        <v>230</v>
      </c>
      <c r="J134" s="108" t="s">
        <v>110</v>
      </c>
      <c r="K134" s="159">
        <v>186.6</v>
      </c>
      <c r="L134" s="167">
        <v>12.85</v>
      </c>
      <c r="M134" s="20">
        <f t="shared" si="108"/>
        <v>2397.81</v>
      </c>
      <c r="N134" s="20">
        <f t="shared" si="109"/>
        <v>9.33</v>
      </c>
      <c r="O134" s="26" t="s">
        <v>26</v>
      </c>
      <c r="P134" s="23" t="s">
        <v>26</v>
      </c>
      <c r="Q134" s="20">
        <v>0</v>
      </c>
      <c r="R134" s="29" t="s">
        <v>26</v>
      </c>
      <c r="S134" s="26" t="s">
        <v>150</v>
      </c>
      <c r="T134" s="29">
        <v>0</v>
      </c>
      <c r="U134" s="29" t="s">
        <v>26</v>
      </c>
      <c r="V134" s="29" t="s">
        <v>26</v>
      </c>
      <c r="W134" s="20">
        <v>0</v>
      </c>
      <c r="X134" s="12"/>
      <c r="Y134" s="1"/>
      <c r="Z134" s="1"/>
      <c r="AA134" s="4"/>
      <c r="AB134" s="26">
        <v>10095</v>
      </c>
      <c r="AC134" s="30"/>
      <c r="AD134" s="28">
        <f t="shared" si="111"/>
        <v>-186.6</v>
      </c>
      <c r="AE134" s="1"/>
      <c r="AF134" s="1">
        <f>AE134*K134</f>
        <v>0</v>
      </c>
      <c r="AG134" s="10"/>
      <c r="AH134" s="11">
        <f>AE134*AC134</f>
        <v>0</v>
      </c>
      <c r="AI134" s="11">
        <f t="shared" si="82"/>
        <v>359.8</v>
      </c>
      <c r="AJ134" s="34">
        <v>359.8</v>
      </c>
      <c r="AK134" s="13">
        <f>AE134-Z134</f>
        <v>0</v>
      </c>
      <c r="AL134" s="11">
        <f t="shared" si="84"/>
        <v>0</v>
      </c>
      <c r="AM134" s="31"/>
      <c r="AN134"/>
      <c r="AR134"/>
    </row>
    <row r="135" spans="1:44" x14ac:dyDescent="0.3">
      <c r="A135" s="3">
        <v>46253</v>
      </c>
      <c r="B135" s="3">
        <v>46254</v>
      </c>
      <c r="C135">
        <v>14</v>
      </c>
      <c r="D135" s="3">
        <v>46267</v>
      </c>
      <c r="E135" s="26" t="s">
        <v>656</v>
      </c>
      <c r="F135" s="26">
        <v>28698</v>
      </c>
      <c r="G135" s="26" t="s">
        <v>76</v>
      </c>
      <c r="H135" s="26" t="s">
        <v>77</v>
      </c>
      <c r="I135" s="26" t="s">
        <v>230</v>
      </c>
      <c r="J135" s="2" t="s">
        <v>110</v>
      </c>
      <c r="K135" s="159">
        <v>349.6</v>
      </c>
      <c r="L135" s="165">
        <v>12.85</v>
      </c>
      <c r="M135" s="20">
        <f t="shared" si="108"/>
        <v>4492.3600000000006</v>
      </c>
      <c r="N135" s="200">
        <f t="shared" si="109"/>
        <v>17.48</v>
      </c>
      <c r="O135" s="26" t="s">
        <v>26</v>
      </c>
      <c r="P135" s="23" t="s">
        <v>26</v>
      </c>
      <c r="Q135" s="20">
        <v>0</v>
      </c>
      <c r="R135" s="20" t="s">
        <v>26</v>
      </c>
      <c r="S135" s="26" t="s">
        <v>26</v>
      </c>
      <c r="T135" s="20">
        <v>0</v>
      </c>
      <c r="U135" s="20" t="s">
        <v>26</v>
      </c>
      <c r="V135" s="23" t="s">
        <v>26</v>
      </c>
      <c r="W135" s="20">
        <v>0</v>
      </c>
      <c r="AB135" s="26">
        <v>10096</v>
      </c>
      <c r="AD135" s="1">
        <f t="shared" si="111"/>
        <v>-349.6</v>
      </c>
      <c r="AH135" s="11">
        <f>AE135*AC135</f>
        <v>0</v>
      </c>
      <c r="AI135" s="11">
        <f>AG135-AF135+AJ135</f>
        <v>0</v>
      </c>
      <c r="AJ135" s="11"/>
      <c r="AK135" s="13">
        <f>AE135-Z135</f>
        <v>0</v>
      </c>
      <c r="AL135" s="11">
        <f>AK135*AC135</f>
        <v>0</v>
      </c>
      <c r="AN135"/>
      <c r="AR135"/>
    </row>
    <row r="136" spans="1:44" x14ac:dyDescent="0.3">
      <c r="A136" s="3">
        <v>46253</v>
      </c>
      <c r="B136" s="3">
        <v>46254</v>
      </c>
      <c r="C136">
        <v>14</v>
      </c>
      <c r="D136" s="3">
        <v>46267</v>
      </c>
      <c r="E136" s="26" t="s">
        <v>656</v>
      </c>
      <c r="F136" s="26">
        <v>28698</v>
      </c>
      <c r="G136" s="26" t="s">
        <v>76</v>
      </c>
      <c r="H136" s="26" t="s">
        <v>77</v>
      </c>
      <c r="I136" s="26" t="s">
        <v>230</v>
      </c>
      <c r="J136" s="2" t="s">
        <v>251</v>
      </c>
      <c r="K136" s="159">
        <v>221.8</v>
      </c>
      <c r="L136" s="165">
        <v>13</v>
      </c>
      <c r="M136" s="20">
        <f t="shared" si="108"/>
        <v>2883.4</v>
      </c>
      <c r="N136" s="200">
        <f t="shared" si="109"/>
        <v>11.090000000000002</v>
      </c>
      <c r="O136" s="26" t="s">
        <v>26</v>
      </c>
      <c r="P136" s="23" t="s">
        <v>26</v>
      </c>
      <c r="Q136" s="20">
        <v>0</v>
      </c>
      <c r="R136" s="20" t="s">
        <v>26</v>
      </c>
      <c r="S136" s="26" t="s">
        <v>26</v>
      </c>
      <c r="T136" s="20">
        <v>0</v>
      </c>
      <c r="U136" s="20" t="s">
        <v>26</v>
      </c>
      <c r="V136" s="23" t="s">
        <v>26</v>
      </c>
      <c r="W136" s="20">
        <v>0</v>
      </c>
      <c r="AB136" s="26">
        <v>10096</v>
      </c>
      <c r="AD136" s="1">
        <f t="shared" si="111"/>
        <v>-221.8</v>
      </c>
      <c r="AH136" s="11">
        <f>AE136*AC136</f>
        <v>0</v>
      </c>
      <c r="AI136" s="11">
        <f>AG136-AF136+AJ136</f>
        <v>0</v>
      </c>
      <c r="AJ136" s="11"/>
      <c r="AK136" s="13">
        <f>AE136-Z136</f>
        <v>0</v>
      </c>
      <c r="AL136" s="11">
        <f>AK136*AC136</f>
        <v>0</v>
      </c>
      <c r="AN136"/>
      <c r="AR136"/>
    </row>
    <row r="137" spans="1:44" x14ac:dyDescent="0.3">
      <c r="A137" s="3">
        <v>46255</v>
      </c>
      <c r="B137" s="3">
        <v>46258</v>
      </c>
      <c r="C137">
        <v>21</v>
      </c>
      <c r="D137" s="3">
        <v>46276</v>
      </c>
      <c r="E137" s="26" t="s">
        <v>671</v>
      </c>
      <c r="F137" s="10"/>
      <c r="G137" s="26" t="s">
        <v>611</v>
      </c>
      <c r="H137" s="26" t="s">
        <v>612</v>
      </c>
      <c r="I137" s="26" t="s">
        <v>184</v>
      </c>
      <c r="J137" s="2" t="s">
        <v>180</v>
      </c>
      <c r="K137" s="159">
        <v>2030.9</v>
      </c>
      <c r="L137" s="167">
        <v>8</v>
      </c>
      <c r="M137" s="20">
        <f t="shared" si="108"/>
        <v>16247.2</v>
      </c>
      <c r="N137" s="200">
        <f t="shared" si="109"/>
        <v>101.54500000000002</v>
      </c>
      <c r="O137" s="26" t="s">
        <v>135</v>
      </c>
      <c r="P137" s="16" t="s">
        <v>672</v>
      </c>
      <c r="Q137" s="11">
        <v>1020</v>
      </c>
      <c r="R137" s="20" t="s">
        <v>26</v>
      </c>
      <c r="S137" s="26" t="s">
        <v>26</v>
      </c>
      <c r="T137" s="20">
        <v>0</v>
      </c>
      <c r="U137" s="20" t="s">
        <v>26</v>
      </c>
      <c r="V137" s="23" t="s">
        <v>26</v>
      </c>
      <c r="W137" s="20">
        <v>0</v>
      </c>
      <c r="AB137" s="26">
        <v>10097</v>
      </c>
      <c r="AD137" s="1">
        <f t="shared" si="111"/>
        <v>-2030.9</v>
      </c>
      <c r="AH137" s="11">
        <f>AE137*AC137</f>
        <v>0</v>
      </c>
      <c r="AI137" s="11">
        <f>AG137-AF137+AJ137</f>
        <v>0</v>
      </c>
      <c r="AJ137" s="11"/>
      <c r="AK137" s="13">
        <f>AE137-Z137</f>
        <v>0</v>
      </c>
      <c r="AL137" s="11">
        <f>AK137*AC137</f>
        <v>0</v>
      </c>
      <c r="AN137"/>
      <c r="AR137"/>
    </row>
    <row r="138" spans="1:44" x14ac:dyDescent="0.3">
      <c r="A138" s="3">
        <v>46255</v>
      </c>
      <c r="B138" s="3">
        <v>46257</v>
      </c>
      <c r="C138">
        <v>30</v>
      </c>
      <c r="D138" s="3">
        <v>46286</v>
      </c>
      <c r="E138" s="26" t="s">
        <v>673</v>
      </c>
      <c r="F138" s="26">
        <v>44256</v>
      </c>
      <c r="G138" s="26" t="s">
        <v>532</v>
      </c>
      <c r="H138" s="26" t="s">
        <v>513</v>
      </c>
      <c r="I138" s="26" t="s">
        <v>184</v>
      </c>
      <c r="J138" s="2" t="s">
        <v>549</v>
      </c>
      <c r="K138" s="109">
        <v>400</v>
      </c>
      <c r="L138" s="167">
        <v>7.5</v>
      </c>
      <c r="M138" s="20">
        <f t="shared" si="108"/>
        <v>3000</v>
      </c>
      <c r="N138" s="200">
        <f t="shared" si="109"/>
        <v>20</v>
      </c>
      <c r="O138" s="26" t="s">
        <v>26</v>
      </c>
      <c r="P138" s="23" t="s">
        <v>26</v>
      </c>
      <c r="Q138" s="20">
        <v>0</v>
      </c>
      <c r="R138" s="20" t="s">
        <v>26</v>
      </c>
      <c r="S138" s="26" t="s">
        <v>26</v>
      </c>
      <c r="T138" s="20">
        <v>0</v>
      </c>
      <c r="U138" s="20" t="s">
        <v>26</v>
      </c>
      <c r="V138" s="23" t="s">
        <v>26</v>
      </c>
      <c r="W138" s="20">
        <v>0</v>
      </c>
      <c r="AB138" s="26">
        <v>10098</v>
      </c>
      <c r="AD138" s="1">
        <f t="shared" si="111"/>
        <v>-400</v>
      </c>
      <c r="AH138" s="11">
        <f>AE138*AC138</f>
        <v>0</v>
      </c>
      <c r="AI138" s="11">
        <f>AG138-AF138+AJ138</f>
        <v>0</v>
      </c>
      <c r="AJ138" s="11"/>
      <c r="AK138" s="13">
        <f>AE138-Z138</f>
        <v>0</v>
      </c>
      <c r="AL138" s="11">
        <f>AK138*AC138</f>
        <v>0</v>
      </c>
      <c r="AN138"/>
      <c r="AR138"/>
    </row>
    <row r="139" spans="1:44" x14ac:dyDescent="0.3">
      <c r="A139" s="3">
        <v>46255</v>
      </c>
      <c r="B139" s="3">
        <v>46257</v>
      </c>
      <c r="C139">
        <v>30</v>
      </c>
      <c r="D139" s="3">
        <v>46286</v>
      </c>
      <c r="E139" s="26" t="s">
        <v>674</v>
      </c>
      <c r="F139" s="26">
        <v>44257</v>
      </c>
      <c r="G139" s="26" t="s">
        <v>532</v>
      </c>
      <c r="H139" s="26" t="s">
        <v>513</v>
      </c>
      <c r="I139" s="26" t="s">
        <v>184</v>
      </c>
      <c r="J139" s="2" t="s">
        <v>549</v>
      </c>
      <c r="K139" s="109">
        <v>1000</v>
      </c>
      <c r="L139" s="167">
        <v>7.5</v>
      </c>
      <c r="M139" s="20">
        <f t="shared" si="108"/>
        <v>7500</v>
      </c>
      <c r="N139" s="200">
        <f t="shared" si="109"/>
        <v>50</v>
      </c>
      <c r="O139" s="26" t="s">
        <v>26</v>
      </c>
      <c r="P139" s="23" t="s">
        <v>26</v>
      </c>
      <c r="Q139" s="20">
        <v>0</v>
      </c>
      <c r="R139" s="20" t="s">
        <v>90</v>
      </c>
      <c r="S139" s="10" t="s">
        <v>698</v>
      </c>
      <c r="T139" s="11">
        <v>160</v>
      </c>
      <c r="U139" s="20" t="s">
        <v>26</v>
      </c>
      <c r="V139" s="23" t="s">
        <v>26</v>
      </c>
      <c r="W139" s="20">
        <v>0</v>
      </c>
      <c r="AB139" s="26">
        <v>10099</v>
      </c>
      <c r="AD139" s="1">
        <f t="shared" si="111"/>
        <v>-1000</v>
      </c>
      <c r="AH139" s="11">
        <f>AE139*AC139</f>
        <v>0</v>
      </c>
      <c r="AI139" s="11">
        <f>AG139-AF139+AJ139</f>
        <v>0</v>
      </c>
      <c r="AJ139" s="11"/>
      <c r="AK139" s="13">
        <f>AE139-Z139</f>
        <v>0</v>
      </c>
      <c r="AL139" s="11">
        <f>AK139*AC139</f>
        <v>0</v>
      </c>
      <c r="AN139"/>
      <c r="AR139"/>
    </row>
    <row r="140" spans="1:44" x14ac:dyDescent="0.3">
      <c r="A140" s="3">
        <v>46255</v>
      </c>
      <c r="B140" s="3">
        <v>46257</v>
      </c>
      <c r="C140">
        <v>30</v>
      </c>
      <c r="D140" s="3">
        <v>46286</v>
      </c>
      <c r="E140" s="26" t="s">
        <v>675</v>
      </c>
      <c r="F140" s="26">
        <v>44258</v>
      </c>
      <c r="G140" s="26" t="s">
        <v>532</v>
      </c>
      <c r="H140" s="26" t="s">
        <v>513</v>
      </c>
      <c r="I140" s="26" t="s">
        <v>184</v>
      </c>
      <c r="J140" s="2" t="s">
        <v>549</v>
      </c>
      <c r="K140" s="109">
        <v>250</v>
      </c>
      <c r="L140" s="167">
        <v>7.5</v>
      </c>
      <c r="M140" s="20">
        <f t="shared" si="108"/>
        <v>1875</v>
      </c>
      <c r="N140" s="200">
        <f t="shared" si="109"/>
        <v>12.5</v>
      </c>
      <c r="O140" s="26" t="s">
        <v>26</v>
      </c>
      <c r="P140" s="23" t="s">
        <v>26</v>
      </c>
      <c r="Q140" s="20">
        <v>0</v>
      </c>
      <c r="R140" s="20" t="s">
        <v>26</v>
      </c>
      <c r="S140" s="26" t="s">
        <v>26</v>
      </c>
      <c r="T140" s="20">
        <v>0</v>
      </c>
      <c r="U140" s="20" t="s">
        <v>26</v>
      </c>
      <c r="V140" s="23" t="s">
        <v>26</v>
      </c>
      <c r="W140" s="20">
        <v>0</v>
      </c>
      <c r="AB140" s="26">
        <v>10100</v>
      </c>
      <c r="AD140" s="1">
        <f t="shared" si="111"/>
        <v>-250</v>
      </c>
      <c r="AH140" s="11">
        <f>AE140*AC140</f>
        <v>0</v>
      </c>
      <c r="AI140" s="11">
        <f>AG140-AF140+AJ140</f>
        <v>0</v>
      </c>
      <c r="AJ140" s="11"/>
      <c r="AK140" s="13">
        <f>AE140-Z140</f>
        <v>0</v>
      </c>
      <c r="AL140" s="11">
        <f>AK140*AC140</f>
        <v>0</v>
      </c>
      <c r="AN140"/>
      <c r="AR140"/>
    </row>
    <row r="141" spans="1:44" x14ac:dyDescent="0.3">
      <c r="A141" s="3">
        <v>46255</v>
      </c>
      <c r="B141" s="3">
        <v>46257</v>
      </c>
      <c r="C141">
        <v>30</v>
      </c>
      <c r="D141" s="3">
        <v>46286</v>
      </c>
      <c r="E141" s="26" t="s">
        <v>676</v>
      </c>
      <c r="F141" s="26">
        <v>44259</v>
      </c>
      <c r="G141" s="26" t="s">
        <v>532</v>
      </c>
      <c r="H141" s="26" t="s">
        <v>513</v>
      </c>
      <c r="I141" s="26" t="s">
        <v>184</v>
      </c>
      <c r="J141" s="2" t="s">
        <v>549</v>
      </c>
      <c r="K141" s="109">
        <v>250</v>
      </c>
      <c r="L141" s="167">
        <v>7.25</v>
      </c>
      <c r="M141" s="20">
        <f t="shared" si="108"/>
        <v>1812.5</v>
      </c>
      <c r="N141" s="200">
        <f t="shared" si="109"/>
        <v>12.5</v>
      </c>
      <c r="O141" s="26" t="s">
        <v>26</v>
      </c>
      <c r="P141" s="23" t="s">
        <v>26</v>
      </c>
      <c r="Q141" s="20">
        <v>0</v>
      </c>
      <c r="R141" s="20" t="s">
        <v>26</v>
      </c>
      <c r="S141" s="26" t="s">
        <v>26</v>
      </c>
      <c r="T141" s="20">
        <v>0</v>
      </c>
      <c r="U141" s="20" t="s">
        <v>26</v>
      </c>
      <c r="V141" s="23" t="s">
        <v>26</v>
      </c>
      <c r="W141" s="20">
        <v>0</v>
      </c>
      <c r="AB141" s="26">
        <v>10101</v>
      </c>
      <c r="AD141" s="1">
        <f t="shared" si="111"/>
        <v>-250</v>
      </c>
      <c r="AH141" s="11">
        <f>AE141*AC141</f>
        <v>0</v>
      </c>
      <c r="AI141" s="11">
        <f>AG141-AF141+AJ141</f>
        <v>0</v>
      </c>
      <c r="AJ141" s="11"/>
      <c r="AK141" s="13">
        <f>AE141-Z141</f>
        <v>0</v>
      </c>
      <c r="AL141" s="11">
        <f>AK141*AC141</f>
        <v>0</v>
      </c>
      <c r="AN141"/>
      <c r="AR141"/>
    </row>
    <row r="142" spans="1:44" x14ac:dyDescent="0.3">
      <c r="A142" s="3">
        <v>46255</v>
      </c>
      <c r="B142" s="3">
        <v>46257</v>
      </c>
      <c r="C142">
        <v>30</v>
      </c>
      <c r="D142" s="3">
        <v>46286</v>
      </c>
      <c r="E142" s="26" t="s">
        <v>677</v>
      </c>
      <c r="F142" s="26">
        <v>44260</v>
      </c>
      <c r="G142" s="26" t="s">
        <v>532</v>
      </c>
      <c r="H142" s="26" t="s">
        <v>513</v>
      </c>
      <c r="I142" s="26" t="s">
        <v>184</v>
      </c>
      <c r="J142" s="2" t="s">
        <v>549</v>
      </c>
      <c r="K142" s="109">
        <v>500</v>
      </c>
      <c r="L142" s="167">
        <v>7.25</v>
      </c>
      <c r="M142" s="20">
        <f t="shared" si="108"/>
        <v>3625</v>
      </c>
      <c r="N142" s="200">
        <f t="shared" si="109"/>
        <v>25</v>
      </c>
      <c r="O142" s="26" t="s">
        <v>26</v>
      </c>
      <c r="P142" s="23" t="s">
        <v>26</v>
      </c>
      <c r="Q142" s="20">
        <v>0</v>
      </c>
      <c r="R142" s="20" t="s">
        <v>26</v>
      </c>
      <c r="S142" s="26" t="s">
        <v>26</v>
      </c>
      <c r="T142" s="20">
        <v>0</v>
      </c>
      <c r="U142" s="20" t="s">
        <v>26</v>
      </c>
      <c r="V142" s="23" t="s">
        <v>26</v>
      </c>
      <c r="W142" s="20">
        <v>0</v>
      </c>
      <c r="AB142" s="26">
        <v>10102</v>
      </c>
      <c r="AD142" s="1">
        <f t="shared" si="111"/>
        <v>-500</v>
      </c>
      <c r="AH142" s="11">
        <f>AE142*AC142</f>
        <v>0</v>
      </c>
      <c r="AI142" s="11">
        <f>AG142-AF142+AJ142</f>
        <v>0</v>
      </c>
      <c r="AJ142" s="11"/>
      <c r="AK142" s="13">
        <f>AE142-Z142</f>
        <v>0</v>
      </c>
      <c r="AL142" s="11">
        <f>AK142*AC142</f>
        <v>0</v>
      </c>
      <c r="AN142"/>
      <c r="AR142"/>
    </row>
    <row r="143" spans="1:44" x14ac:dyDescent="0.3">
      <c r="A143" s="3">
        <v>46255</v>
      </c>
      <c r="B143" s="3">
        <v>46257</v>
      </c>
      <c r="C143">
        <v>30</v>
      </c>
      <c r="D143" s="3">
        <v>46286</v>
      </c>
      <c r="E143" s="26" t="s">
        <v>678</v>
      </c>
      <c r="F143" s="26">
        <v>44261</v>
      </c>
      <c r="G143" s="26" t="s">
        <v>532</v>
      </c>
      <c r="H143" s="26" t="s">
        <v>513</v>
      </c>
      <c r="I143" s="26" t="s">
        <v>184</v>
      </c>
      <c r="J143" s="2" t="s">
        <v>549</v>
      </c>
      <c r="K143" s="109">
        <v>200</v>
      </c>
      <c r="L143" s="167">
        <v>7.25</v>
      </c>
      <c r="M143" s="20">
        <f t="shared" si="108"/>
        <v>1450</v>
      </c>
      <c r="N143" s="200">
        <f t="shared" si="109"/>
        <v>10</v>
      </c>
      <c r="O143" s="26" t="s">
        <v>26</v>
      </c>
      <c r="P143" s="23" t="s">
        <v>26</v>
      </c>
      <c r="Q143" s="20">
        <v>0</v>
      </c>
      <c r="R143" s="20" t="s">
        <v>26</v>
      </c>
      <c r="S143" s="26" t="s">
        <v>26</v>
      </c>
      <c r="T143" s="20">
        <v>0</v>
      </c>
      <c r="U143" s="20" t="s">
        <v>26</v>
      </c>
      <c r="V143" s="23" t="s">
        <v>26</v>
      </c>
      <c r="W143" s="20">
        <v>0</v>
      </c>
      <c r="AB143" s="26">
        <v>10103</v>
      </c>
      <c r="AD143" s="1">
        <f t="shared" si="111"/>
        <v>-200</v>
      </c>
      <c r="AH143" s="11">
        <f>AE143*AC143</f>
        <v>0</v>
      </c>
      <c r="AI143" s="11">
        <f>AG143-AF143+AJ143</f>
        <v>0</v>
      </c>
      <c r="AJ143" s="11"/>
      <c r="AK143" s="13">
        <f>AE143-Z143</f>
        <v>0</v>
      </c>
      <c r="AL143" s="11">
        <f>AK143*AC143</f>
        <v>0</v>
      </c>
      <c r="AN143"/>
      <c r="AR143"/>
    </row>
    <row r="144" spans="1:44" x14ac:dyDescent="0.3">
      <c r="A144" s="3">
        <v>46255</v>
      </c>
      <c r="B144" s="3">
        <v>46257</v>
      </c>
      <c r="C144">
        <v>30</v>
      </c>
      <c r="D144" s="3">
        <v>46286</v>
      </c>
      <c r="E144" s="26" t="s">
        <v>679</v>
      </c>
      <c r="F144" s="26">
        <v>44302</v>
      </c>
      <c r="G144" s="26" t="s">
        <v>532</v>
      </c>
      <c r="H144" s="26" t="s">
        <v>513</v>
      </c>
      <c r="I144" s="26" t="s">
        <v>184</v>
      </c>
      <c r="J144" s="2" t="s">
        <v>549</v>
      </c>
      <c r="K144" s="109">
        <v>300</v>
      </c>
      <c r="L144" s="167">
        <v>7.25</v>
      </c>
      <c r="M144" s="20">
        <f t="shared" si="108"/>
        <v>2175</v>
      </c>
      <c r="N144" s="200">
        <f t="shared" si="109"/>
        <v>15</v>
      </c>
      <c r="O144" s="26" t="s">
        <v>26</v>
      </c>
      <c r="P144" s="23" t="s">
        <v>26</v>
      </c>
      <c r="Q144" s="20">
        <v>0</v>
      </c>
      <c r="R144" s="20" t="s">
        <v>26</v>
      </c>
      <c r="S144" s="26" t="s">
        <v>26</v>
      </c>
      <c r="T144" s="20">
        <v>0</v>
      </c>
      <c r="U144" s="20" t="s">
        <v>26</v>
      </c>
      <c r="V144" s="23" t="s">
        <v>26</v>
      </c>
      <c r="W144" s="20">
        <v>0</v>
      </c>
      <c r="AB144" s="26">
        <v>10104</v>
      </c>
      <c r="AD144" s="1">
        <f t="shared" si="111"/>
        <v>-300</v>
      </c>
      <c r="AH144" s="11">
        <f>AE144*AC144</f>
        <v>0</v>
      </c>
      <c r="AI144" s="11">
        <f>AG144-AF144+AJ144</f>
        <v>0</v>
      </c>
      <c r="AJ144" s="11"/>
      <c r="AK144" s="13">
        <f>AE144-Z144</f>
        <v>0</v>
      </c>
      <c r="AL144" s="11">
        <f>AK144*AC144</f>
        <v>0</v>
      </c>
      <c r="AN144"/>
      <c r="AR144"/>
    </row>
    <row r="145" spans="1:44" x14ac:dyDescent="0.3">
      <c r="A145" s="3">
        <v>46255</v>
      </c>
      <c r="B145" s="3">
        <v>46261</v>
      </c>
      <c r="C145">
        <v>14</v>
      </c>
      <c r="D145" s="3">
        <v>46275</v>
      </c>
      <c r="E145" s="26" t="s">
        <v>680</v>
      </c>
      <c r="F145" s="10"/>
      <c r="G145" s="26" t="s">
        <v>76</v>
      </c>
      <c r="H145" s="26" t="s">
        <v>77</v>
      </c>
      <c r="I145" s="26" t="s">
        <v>230</v>
      </c>
      <c r="J145" s="2" t="s">
        <v>665</v>
      </c>
      <c r="K145" s="109">
        <v>5000</v>
      </c>
      <c r="L145" s="167">
        <v>5.8</v>
      </c>
      <c r="M145" s="20">
        <f t="shared" si="108"/>
        <v>29000</v>
      </c>
      <c r="N145" s="200">
        <f t="shared" si="109"/>
        <v>250</v>
      </c>
      <c r="O145" s="26" t="s">
        <v>157</v>
      </c>
      <c r="P145" s="16" t="s">
        <v>27</v>
      </c>
      <c r="Q145" s="20">
        <v>2250</v>
      </c>
      <c r="R145" s="20" t="s">
        <v>246</v>
      </c>
      <c r="S145" s="26" t="s">
        <v>246</v>
      </c>
      <c r="T145" s="20">
        <v>0</v>
      </c>
      <c r="U145" s="20" t="s">
        <v>246</v>
      </c>
      <c r="V145" s="23" t="s">
        <v>26</v>
      </c>
      <c r="W145" s="20">
        <v>0</v>
      </c>
      <c r="AB145" s="26">
        <v>10105</v>
      </c>
      <c r="AD145" s="1">
        <f t="shared" si="111"/>
        <v>-5000</v>
      </c>
      <c r="AH145" s="11">
        <f>AE145*AC145</f>
        <v>0</v>
      </c>
      <c r="AI145" s="11">
        <f>AG145-AF145+AJ145</f>
        <v>0</v>
      </c>
      <c r="AJ145" s="11"/>
      <c r="AK145" s="13">
        <f>AE145-Z145</f>
        <v>0</v>
      </c>
      <c r="AL145" s="11">
        <f>AK145*AC145</f>
        <v>0</v>
      </c>
      <c r="AN145"/>
      <c r="AR145"/>
    </row>
    <row r="146" spans="1:44" x14ac:dyDescent="0.3">
      <c r="A146" s="3">
        <v>46257</v>
      </c>
      <c r="B146" s="3">
        <v>46258</v>
      </c>
      <c r="C146">
        <v>14</v>
      </c>
      <c r="D146" s="3">
        <v>46272</v>
      </c>
      <c r="E146" s="26" t="s">
        <v>685</v>
      </c>
      <c r="F146" s="241" t="s">
        <v>712</v>
      </c>
      <c r="G146" s="26" t="s">
        <v>76</v>
      </c>
      <c r="H146" s="26" t="s">
        <v>77</v>
      </c>
      <c r="I146" s="26" t="s">
        <v>230</v>
      </c>
      <c r="J146" s="2" t="s">
        <v>109</v>
      </c>
      <c r="K146" s="159">
        <v>261.7</v>
      </c>
      <c r="L146" s="167">
        <v>11.95</v>
      </c>
      <c r="M146" s="20">
        <f t="shared" si="108"/>
        <v>3127.3149999999996</v>
      </c>
      <c r="N146" s="200">
        <f t="shared" si="109"/>
        <v>13.085000000000001</v>
      </c>
      <c r="O146" s="26" t="s">
        <v>26</v>
      </c>
      <c r="P146" s="23" t="s">
        <v>26</v>
      </c>
      <c r="Q146" s="20">
        <v>0</v>
      </c>
      <c r="R146" s="20" t="s">
        <v>26</v>
      </c>
      <c r="S146" s="26" t="s">
        <v>26</v>
      </c>
      <c r="T146" s="20">
        <v>0</v>
      </c>
      <c r="U146" s="20" t="s">
        <v>26</v>
      </c>
      <c r="V146" s="23" t="s">
        <v>26</v>
      </c>
      <c r="W146" s="20">
        <v>0</v>
      </c>
      <c r="AB146" s="26">
        <v>10107</v>
      </c>
      <c r="AD146" s="1">
        <f t="shared" si="111"/>
        <v>-261.7</v>
      </c>
      <c r="AH146" s="11">
        <f>AE146*AC146</f>
        <v>0</v>
      </c>
      <c r="AI146" s="11">
        <f>AG146-AF146+AJ146</f>
        <v>0</v>
      </c>
      <c r="AJ146" s="11"/>
      <c r="AK146" s="13">
        <f>AE146-Z146</f>
        <v>0</v>
      </c>
      <c r="AL146" s="11">
        <f>AK146*AC146</f>
        <v>0</v>
      </c>
      <c r="AN146"/>
      <c r="AR146"/>
    </row>
    <row r="147" spans="1:44" x14ac:dyDescent="0.3">
      <c r="A147" s="3">
        <v>46258</v>
      </c>
      <c r="B147" s="3">
        <v>46258</v>
      </c>
      <c r="C147">
        <v>0</v>
      </c>
      <c r="D147" s="3">
        <v>46259</v>
      </c>
      <c r="E147" s="99" t="s">
        <v>686</v>
      </c>
      <c r="F147" s="99">
        <v>141410</v>
      </c>
      <c r="G147" s="99" t="s">
        <v>188</v>
      </c>
      <c r="H147" s="99" t="s">
        <v>540</v>
      </c>
      <c r="I147" s="99" t="s">
        <v>541</v>
      </c>
      <c r="J147" s="244" t="s">
        <v>122</v>
      </c>
      <c r="K147" s="186">
        <v>552.14</v>
      </c>
      <c r="L147" s="187">
        <v>6.65</v>
      </c>
      <c r="M147" s="98">
        <f t="shared" si="108"/>
        <v>3671.7310000000002</v>
      </c>
      <c r="N147" s="200">
        <f t="shared" si="109"/>
        <v>27.606999999999999</v>
      </c>
      <c r="O147" s="26" t="s">
        <v>26</v>
      </c>
      <c r="P147" s="23" t="s">
        <v>26</v>
      </c>
      <c r="Q147" s="1">
        <v>0</v>
      </c>
      <c r="R147" s="1" t="s">
        <v>26</v>
      </c>
      <c r="S147" s="26" t="s">
        <v>26</v>
      </c>
      <c r="T147" s="1">
        <v>0</v>
      </c>
      <c r="U147" s="20" t="s">
        <v>26</v>
      </c>
      <c r="V147" s="2" t="s">
        <v>26</v>
      </c>
      <c r="W147" s="20">
        <v>0</v>
      </c>
      <c r="AB147" s="26">
        <v>10108</v>
      </c>
      <c r="AD147" s="1">
        <f t="shared" si="111"/>
        <v>-552.14</v>
      </c>
      <c r="AH147" s="11">
        <f>AE147*AC147</f>
        <v>0</v>
      </c>
      <c r="AI147" s="11">
        <f>AG147-AF147+AJ147</f>
        <v>0</v>
      </c>
      <c r="AJ147" s="11"/>
      <c r="AK147" s="13">
        <f>AE147-Z147</f>
        <v>0</v>
      </c>
      <c r="AL147" s="11">
        <f>AK147*AC147</f>
        <v>0</v>
      </c>
      <c r="AN147"/>
      <c r="AR147"/>
    </row>
    <row r="148" spans="1:44" x14ac:dyDescent="0.3">
      <c r="A148" s="3">
        <v>46258</v>
      </c>
      <c r="B148" s="3">
        <v>46258</v>
      </c>
      <c r="C148">
        <v>21</v>
      </c>
      <c r="D148" s="3">
        <v>46279</v>
      </c>
      <c r="E148" s="26" t="s">
        <v>689</v>
      </c>
      <c r="G148" s="26" t="s">
        <v>145</v>
      </c>
      <c r="H148" s="26" t="s">
        <v>633</v>
      </c>
      <c r="I148" s="26" t="s">
        <v>230</v>
      </c>
      <c r="J148" s="2" t="s">
        <v>240</v>
      </c>
      <c r="K148" s="109">
        <v>259</v>
      </c>
      <c r="L148" s="167">
        <v>7.85</v>
      </c>
      <c r="M148" s="20">
        <f>L148*K148</f>
        <v>2033.1499999999999</v>
      </c>
      <c r="N148" s="37">
        <f>0.05*K148</f>
        <v>12.950000000000001</v>
      </c>
      <c r="O148" s="26" t="s">
        <v>26</v>
      </c>
      <c r="P148" s="23" t="s">
        <v>26</v>
      </c>
      <c r="Q148" s="1">
        <v>0</v>
      </c>
      <c r="R148" s="1" t="s">
        <v>88</v>
      </c>
      <c r="S148" s="26" t="s">
        <v>701</v>
      </c>
      <c r="T148" s="20">
        <v>230</v>
      </c>
      <c r="U148" s="20" t="s">
        <v>26</v>
      </c>
      <c r="V148" s="2" t="s">
        <v>26</v>
      </c>
      <c r="W148" s="20">
        <v>0</v>
      </c>
      <c r="AB148" s="26">
        <v>10109</v>
      </c>
      <c r="AD148" s="1">
        <f>AC148-K148</f>
        <v>-259</v>
      </c>
      <c r="AH148" s="11">
        <f>AE148*AC148</f>
        <v>0</v>
      </c>
      <c r="AI148" s="11">
        <f>AG148-AF148+AJ148</f>
        <v>0</v>
      </c>
      <c r="AJ148" s="11"/>
      <c r="AK148" s="13">
        <f>AE148-Z148</f>
        <v>0</v>
      </c>
      <c r="AL148" s="11">
        <f>AK148*AC148</f>
        <v>0</v>
      </c>
      <c r="AN148"/>
      <c r="AR148"/>
    </row>
    <row r="149" spans="1:44" x14ac:dyDescent="0.3">
      <c r="A149" s="3">
        <v>46258</v>
      </c>
      <c r="B149" s="3">
        <v>46259</v>
      </c>
      <c r="C149">
        <v>14</v>
      </c>
      <c r="D149" s="3">
        <v>46272</v>
      </c>
      <c r="E149" s="26" t="s">
        <v>690</v>
      </c>
      <c r="F149" s="10">
        <v>28737</v>
      </c>
      <c r="G149" s="26" t="s">
        <v>76</v>
      </c>
      <c r="H149" s="26" t="s">
        <v>77</v>
      </c>
      <c r="I149" s="26" t="s">
        <v>230</v>
      </c>
      <c r="J149" s="23" t="s">
        <v>504</v>
      </c>
      <c r="K149" s="159">
        <v>502</v>
      </c>
      <c r="L149" s="165">
        <v>7.15</v>
      </c>
      <c r="M149" s="20">
        <f>L149*K149</f>
        <v>3589.3</v>
      </c>
      <c r="N149" s="37">
        <f>0.05*K149</f>
        <v>25.1</v>
      </c>
      <c r="O149" s="26"/>
      <c r="P149" s="23"/>
      <c r="S149" s="10"/>
      <c r="T149" s="11"/>
      <c r="U149" s="20"/>
      <c r="W149" s="20"/>
      <c r="AB149" s="26">
        <v>10110</v>
      </c>
      <c r="AD149" s="1">
        <f>AC149-K149</f>
        <v>-502</v>
      </c>
      <c r="AH149" s="11">
        <f>AE149*AC149</f>
        <v>0</v>
      </c>
      <c r="AI149" s="11">
        <f>AG149-AF149+AJ149</f>
        <v>0</v>
      </c>
      <c r="AJ149" s="11"/>
      <c r="AK149" s="13">
        <f>AE149-Z149</f>
        <v>0</v>
      </c>
      <c r="AL149" s="11">
        <f>AK149*AC149</f>
        <v>0</v>
      </c>
      <c r="AN149"/>
      <c r="AR149"/>
    </row>
    <row r="150" spans="1:44" x14ac:dyDescent="0.3">
      <c r="A150" s="3">
        <v>46258</v>
      </c>
      <c r="B150" s="3">
        <v>46259</v>
      </c>
      <c r="C150">
        <v>14</v>
      </c>
      <c r="D150" s="3">
        <v>46272</v>
      </c>
      <c r="E150" s="26" t="s">
        <v>691</v>
      </c>
      <c r="F150" s="291">
        <v>28738</v>
      </c>
      <c r="G150" s="26" t="s">
        <v>76</v>
      </c>
      <c r="H150" s="26" t="s">
        <v>77</v>
      </c>
      <c r="I150" s="26" t="s">
        <v>230</v>
      </c>
      <c r="J150" s="23" t="s">
        <v>504</v>
      </c>
      <c r="K150" s="159">
        <v>1518</v>
      </c>
      <c r="L150" s="165">
        <v>7.15</v>
      </c>
      <c r="M150" s="20">
        <f>L150*K150</f>
        <v>10853.7</v>
      </c>
      <c r="N150" s="37">
        <f>0.05*K150</f>
        <v>75.900000000000006</v>
      </c>
      <c r="O150" s="26"/>
      <c r="P150" s="23"/>
      <c r="S150" s="10"/>
      <c r="T150" s="11"/>
      <c r="U150" s="20"/>
      <c r="W150" s="20"/>
      <c r="AB150" s="26">
        <v>10111</v>
      </c>
      <c r="AD150" s="1">
        <f>AC150-K150</f>
        <v>-1518</v>
      </c>
      <c r="AH150" s="11">
        <f>AE150*AC150</f>
        <v>0</v>
      </c>
      <c r="AI150" s="11">
        <f>AG150-AF150+AJ150</f>
        <v>0</v>
      </c>
      <c r="AJ150" s="11"/>
      <c r="AK150" s="13">
        <f>AE150-Z150</f>
        <v>0</v>
      </c>
      <c r="AL150" s="11">
        <f>AK150*AC150</f>
        <v>0</v>
      </c>
      <c r="AN150"/>
      <c r="AR150"/>
    </row>
    <row r="151" spans="1:44" x14ac:dyDescent="0.3">
      <c r="A151" s="3">
        <v>46259</v>
      </c>
      <c r="B151" s="3">
        <v>46259</v>
      </c>
      <c r="C151">
        <v>14</v>
      </c>
      <c r="D151" s="3">
        <v>46273</v>
      </c>
      <c r="E151" s="26" t="s">
        <v>692</v>
      </c>
      <c r="G151" s="26" t="s">
        <v>57</v>
      </c>
      <c r="H151" s="26" t="s">
        <v>59</v>
      </c>
      <c r="I151" s="26" t="s">
        <v>104</v>
      </c>
      <c r="J151" s="2" t="s">
        <v>109</v>
      </c>
      <c r="K151" s="109">
        <v>500</v>
      </c>
      <c r="L151" s="167">
        <v>11.15</v>
      </c>
      <c r="M151" s="20">
        <f>L151*K151</f>
        <v>5575</v>
      </c>
      <c r="N151" s="37">
        <f>0.05*K151</f>
        <v>25</v>
      </c>
      <c r="O151" s="10" t="s">
        <v>693</v>
      </c>
      <c r="P151" s="16" t="s">
        <v>27</v>
      </c>
      <c r="Q151" s="11"/>
      <c r="R151" s="11" t="s">
        <v>694</v>
      </c>
      <c r="S151" s="10" t="s">
        <v>27</v>
      </c>
      <c r="T151" s="11"/>
      <c r="U151" s="20"/>
      <c r="W151" s="20"/>
      <c r="AD151" s="1">
        <f>AC151-K151</f>
        <v>-500</v>
      </c>
      <c r="AH151" s="11">
        <f>AE151*AC151</f>
        <v>0</v>
      </c>
      <c r="AI151" s="11">
        <f>AG151-AF151+AJ151</f>
        <v>0</v>
      </c>
      <c r="AJ151" s="11"/>
      <c r="AK151" s="13">
        <f>AE151-Z151</f>
        <v>0</v>
      </c>
      <c r="AL151" s="11">
        <f>AK151*AC151</f>
        <v>0</v>
      </c>
      <c r="AN151"/>
      <c r="AR151"/>
    </row>
    <row r="152" spans="1:44" x14ac:dyDescent="0.3">
      <c r="A152" s="3">
        <v>46259</v>
      </c>
      <c r="B152" s="3">
        <v>46259</v>
      </c>
      <c r="C152">
        <v>21</v>
      </c>
      <c r="D152" s="3">
        <v>46280</v>
      </c>
      <c r="E152" s="26" t="s">
        <v>700</v>
      </c>
      <c r="G152" s="26" t="s">
        <v>145</v>
      </c>
      <c r="H152" s="26" t="s">
        <v>633</v>
      </c>
      <c r="I152" s="26" t="s">
        <v>230</v>
      </c>
      <c r="J152" s="2" t="s">
        <v>240</v>
      </c>
      <c r="K152" s="109">
        <v>400</v>
      </c>
      <c r="L152" s="167">
        <v>7.45</v>
      </c>
      <c r="M152" s="20">
        <f>L152*K152</f>
        <v>2980</v>
      </c>
      <c r="N152" s="37">
        <f>0.05*K152</f>
        <v>20</v>
      </c>
      <c r="O152" s="26" t="s">
        <v>26</v>
      </c>
      <c r="P152" s="23" t="s">
        <v>26</v>
      </c>
      <c r="S152" s="10"/>
      <c r="T152" s="11"/>
      <c r="U152" s="20"/>
      <c r="W152" s="20"/>
      <c r="AB152" s="26">
        <v>10118</v>
      </c>
      <c r="AD152" s="1">
        <f>AC152-K152</f>
        <v>-400</v>
      </c>
      <c r="AH152" s="11">
        <f>AE152*AC152</f>
        <v>0</v>
      </c>
      <c r="AI152" s="11">
        <f>AG152-AF152+AJ152</f>
        <v>0</v>
      </c>
      <c r="AJ152" s="11"/>
      <c r="AK152" s="13">
        <f>AE152-Z152</f>
        <v>0</v>
      </c>
      <c r="AL152" s="11">
        <f>AK152*AC152</f>
        <v>0</v>
      </c>
      <c r="AN152"/>
      <c r="AR152"/>
    </row>
    <row r="153" spans="1:44" x14ac:dyDescent="0.3">
      <c r="A153" s="3">
        <v>46259</v>
      </c>
      <c r="B153" s="3">
        <v>46259</v>
      </c>
      <c r="C153">
        <v>21</v>
      </c>
      <c r="D153" s="3">
        <v>46280</v>
      </c>
      <c r="E153" s="26" t="s">
        <v>700</v>
      </c>
      <c r="G153" s="26" t="s">
        <v>145</v>
      </c>
      <c r="H153" s="26" t="s">
        <v>633</v>
      </c>
      <c r="I153" s="26" t="s">
        <v>230</v>
      </c>
      <c r="J153" s="2" t="s">
        <v>579</v>
      </c>
      <c r="K153" s="109">
        <v>1040</v>
      </c>
      <c r="L153" s="167">
        <v>6.45</v>
      </c>
      <c r="M153" s="20">
        <f>L153*K153</f>
        <v>6708</v>
      </c>
      <c r="N153" s="37">
        <f>0.05*K153</f>
        <v>52</v>
      </c>
      <c r="O153" s="26" t="s">
        <v>26</v>
      </c>
      <c r="P153" s="23" t="s">
        <v>26</v>
      </c>
      <c r="S153" s="10"/>
      <c r="T153" s="11"/>
      <c r="U153" s="20"/>
      <c r="W153" s="20"/>
      <c r="AD153" s="1">
        <f>AC153-K153</f>
        <v>-1040</v>
      </c>
      <c r="AH153" s="11">
        <f>AE153*AC153</f>
        <v>0</v>
      </c>
      <c r="AI153" s="11">
        <f>AG153-AF153+AJ153</f>
        <v>0</v>
      </c>
      <c r="AJ153" s="11"/>
      <c r="AK153" s="13">
        <f>AE153-Z153</f>
        <v>0</v>
      </c>
      <c r="AL153" s="11">
        <f>AK153*AC153</f>
        <v>0</v>
      </c>
      <c r="AN153"/>
      <c r="AR153"/>
    </row>
    <row r="154" spans="1:44" x14ac:dyDescent="0.3">
      <c r="A154" s="3">
        <v>46259</v>
      </c>
      <c r="B154" s="3">
        <v>46260</v>
      </c>
      <c r="C154">
        <v>14</v>
      </c>
      <c r="D154" s="3">
        <v>46273</v>
      </c>
      <c r="E154" s="26" t="s">
        <v>704</v>
      </c>
      <c r="G154" s="26" t="s">
        <v>446</v>
      </c>
      <c r="H154" s="26" t="s">
        <v>455</v>
      </c>
      <c r="I154" s="26" t="s">
        <v>104</v>
      </c>
      <c r="J154" s="2" t="s">
        <v>549</v>
      </c>
      <c r="K154" s="109">
        <v>1000</v>
      </c>
      <c r="L154" s="167">
        <v>6.65</v>
      </c>
      <c r="M154" s="20">
        <f>L154*K154</f>
        <v>6650</v>
      </c>
      <c r="N154" s="37">
        <f>0.05*K154</f>
        <v>50</v>
      </c>
      <c r="O154" s="26"/>
      <c r="P154" s="23"/>
      <c r="S154" s="10"/>
      <c r="T154" s="11"/>
      <c r="U154" s="20"/>
      <c r="W154" s="20"/>
      <c r="AD154" s="1">
        <f>AC154-K154</f>
        <v>-1000</v>
      </c>
      <c r="AN154"/>
      <c r="AR154"/>
    </row>
    <row r="155" spans="1:44" x14ac:dyDescent="0.3">
      <c r="A155" s="3">
        <v>46259</v>
      </c>
      <c r="B155" s="3">
        <v>46260</v>
      </c>
      <c r="C155">
        <v>30</v>
      </c>
      <c r="D155" s="3">
        <v>46291</v>
      </c>
      <c r="E155" s="26" t="s">
        <v>705</v>
      </c>
      <c r="G155" s="26" t="s">
        <v>532</v>
      </c>
      <c r="H155" s="26" t="s">
        <v>513</v>
      </c>
      <c r="I155" s="26" t="s">
        <v>184</v>
      </c>
      <c r="J155" s="2" t="s">
        <v>549</v>
      </c>
      <c r="K155" s="109">
        <v>200</v>
      </c>
      <c r="L155" s="167">
        <v>6.9</v>
      </c>
      <c r="M155" s="20">
        <f>L155*K155</f>
        <v>1380</v>
      </c>
      <c r="N155" s="37">
        <f>0.05*K155</f>
        <v>10</v>
      </c>
      <c r="O155" s="26"/>
      <c r="P155" s="23"/>
      <c r="S155" s="10"/>
      <c r="T155" s="11"/>
      <c r="U155" s="20"/>
      <c r="W155" s="20"/>
      <c r="AB155" s="26">
        <v>10114</v>
      </c>
      <c r="AD155" s="1">
        <f>AC155-K155</f>
        <v>-200</v>
      </c>
      <c r="AN155"/>
      <c r="AR155"/>
    </row>
    <row r="156" spans="1:44" x14ac:dyDescent="0.3">
      <c r="A156" s="3">
        <v>46259</v>
      </c>
      <c r="B156" s="3">
        <v>46260</v>
      </c>
      <c r="C156">
        <v>30</v>
      </c>
      <c r="D156" s="3">
        <v>46291</v>
      </c>
      <c r="E156" s="26" t="s">
        <v>706</v>
      </c>
      <c r="G156" s="26" t="s">
        <v>532</v>
      </c>
      <c r="H156" s="26" t="s">
        <v>513</v>
      </c>
      <c r="I156" s="26" t="s">
        <v>184</v>
      </c>
      <c r="J156" s="2" t="s">
        <v>549</v>
      </c>
      <c r="K156" s="109">
        <v>250</v>
      </c>
      <c r="L156" s="167">
        <v>6.9</v>
      </c>
      <c r="M156" s="20">
        <f>L156*K156</f>
        <v>1725</v>
      </c>
      <c r="N156" s="37">
        <f>0.05*K156</f>
        <v>12.5</v>
      </c>
      <c r="O156" s="26"/>
      <c r="P156" s="23"/>
      <c r="S156" s="10"/>
      <c r="T156" s="11"/>
      <c r="U156" s="20"/>
      <c r="W156" s="20"/>
      <c r="AB156" s="26">
        <v>10115</v>
      </c>
      <c r="AD156" s="1">
        <f>AC156-K156</f>
        <v>-250</v>
      </c>
      <c r="AN156"/>
      <c r="AR156"/>
    </row>
    <row r="157" spans="1:44" x14ac:dyDescent="0.3">
      <c r="A157" s="3">
        <v>46259</v>
      </c>
      <c r="B157" s="3">
        <v>46260</v>
      </c>
      <c r="C157">
        <v>30</v>
      </c>
      <c r="D157" s="3">
        <v>46291</v>
      </c>
      <c r="E157" s="26" t="s">
        <v>707</v>
      </c>
      <c r="G157" s="26" t="s">
        <v>532</v>
      </c>
      <c r="H157" s="26" t="s">
        <v>513</v>
      </c>
      <c r="I157" s="26" t="s">
        <v>184</v>
      </c>
      <c r="J157" s="2" t="s">
        <v>549</v>
      </c>
      <c r="K157" s="109">
        <v>500</v>
      </c>
      <c r="L157" s="167">
        <v>6.9</v>
      </c>
      <c r="M157" s="20">
        <f>L157*K157</f>
        <v>3450</v>
      </c>
      <c r="N157" s="37">
        <f>0.05*K157</f>
        <v>25</v>
      </c>
      <c r="O157" s="26"/>
      <c r="P157" s="23"/>
      <c r="S157" s="10"/>
      <c r="T157" s="11"/>
      <c r="U157" s="20"/>
      <c r="W157" s="20"/>
      <c r="AB157" s="26">
        <v>10116</v>
      </c>
      <c r="AD157" s="1">
        <f>AC157-K157</f>
        <v>-500</v>
      </c>
      <c r="AN157"/>
      <c r="AR157"/>
    </row>
    <row r="158" spans="1:44" x14ac:dyDescent="0.3">
      <c r="A158" s="3">
        <v>46259</v>
      </c>
      <c r="B158" s="3">
        <v>46260</v>
      </c>
      <c r="C158">
        <v>30</v>
      </c>
      <c r="D158" s="3">
        <v>46291</v>
      </c>
      <c r="E158" s="26" t="s">
        <v>708</v>
      </c>
      <c r="G158" s="26" t="s">
        <v>532</v>
      </c>
      <c r="H158" s="26" t="s">
        <v>513</v>
      </c>
      <c r="I158" s="26" t="s">
        <v>184</v>
      </c>
      <c r="J158" s="2" t="s">
        <v>549</v>
      </c>
      <c r="K158" s="109">
        <v>150</v>
      </c>
      <c r="L158" s="167">
        <v>6.9</v>
      </c>
      <c r="M158" s="20">
        <f>L158*K158</f>
        <v>1035</v>
      </c>
      <c r="N158" s="37">
        <f>0.05*K158</f>
        <v>7.5</v>
      </c>
      <c r="O158" s="26"/>
      <c r="P158" s="23"/>
      <c r="S158" s="10"/>
      <c r="T158" s="11"/>
      <c r="U158" s="20"/>
      <c r="W158" s="20"/>
      <c r="AB158" s="26">
        <v>10117</v>
      </c>
      <c r="AD158" s="1">
        <f>AC158-K158</f>
        <v>-150</v>
      </c>
      <c r="AN158"/>
      <c r="AR158"/>
    </row>
    <row r="159" spans="1:44" x14ac:dyDescent="0.3">
      <c r="A159" s="3">
        <v>46259</v>
      </c>
      <c r="B159" s="3">
        <v>46260</v>
      </c>
      <c r="C159">
        <v>30</v>
      </c>
      <c r="D159" s="3">
        <v>46291</v>
      </c>
      <c r="E159" s="26" t="s">
        <v>709</v>
      </c>
      <c r="G159" s="26" t="s">
        <v>532</v>
      </c>
      <c r="H159" s="26" t="s">
        <v>513</v>
      </c>
      <c r="I159" s="26" t="s">
        <v>184</v>
      </c>
      <c r="J159" s="2" t="s">
        <v>549</v>
      </c>
      <c r="K159" s="109">
        <v>2000</v>
      </c>
      <c r="L159" s="167">
        <v>6.65</v>
      </c>
      <c r="M159" s="20">
        <f>L159*K159</f>
        <v>13300</v>
      </c>
      <c r="N159" s="37">
        <f>0.05*K159</f>
        <v>100</v>
      </c>
      <c r="O159" s="26"/>
      <c r="P159" s="23"/>
      <c r="S159" s="10"/>
      <c r="T159" s="11"/>
      <c r="U159" s="20"/>
      <c r="W159" s="20"/>
      <c r="AD159" s="1">
        <f>AC159-K159</f>
        <v>-2000</v>
      </c>
      <c r="AN159"/>
      <c r="AR159"/>
    </row>
    <row r="160" spans="1:44" x14ac:dyDescent="0.3">
      <c r="A160" s="3">
        <v>46259</v>
      </c>
      <c r="B160" s="3">
        <v>46260</v>
      </c>
      <c r="C160">
        <v>21</v>
      </c>
      <c r="D160" s="3">
        <v>46273</v>
      </c>
      <c r="E160" s="26" t="s">
        <v>711</v>
      </c>
      <c r="G160" s="26" t="s">
        <v>145</v>
      </c>
      <c r="H160" s="26" t="s">
        <v>633</v>
      </c>
      <c r="I160" s="26" t="s">
        <v>230</v>
      </c>
      <c r="J160" s="2" t="s">
        <v>240</v>
      </c>
      <c r="K160" s="109">
        <v>800</v>
      </c>
      <c r="L160" s="167">
        <v>7.65</v>
      </c>
      <c r="M160" s="20">
        <f>L160*K160</f>
        <v>6120</v>
      </c>
      <c r="N160" s="37">
        <f>0.05*K160</f>
        <v>40</v>
      </c>
      <c r="O160" s="26" t="s">
        <v>26</v>
      </c>
      <c r="P160" s="23" t="s">
        <v>26</v>
      </c>
      <c r="Q160" s="1">
        <v>0</v>
      </c>
      <c r="R160" s="1" t="s">
        <v>751</v>
      </c>
      <c r="S160" s="10" t="s">
        <v>27</v>
      </c>
      <c r="T160" s="11">
        <v>38</v>
      </c>
      <c r="U160" s="20" t="s">
        <v>26</v>
      </c>
      <c r="V160" s="2" t="s">
        <v>26</v>
      </c>
      <c r="W160" s="20">
        <v>0</v>
      </c>
      <c r="AB160" s="26">
        <v>10112</v>
      </c>
      <c r="AD160" s="1">
        <f>AC160-K160</f>
        <v>-800</v>
      </c>
      <c r="AN160"/>
      <c r="AR160"/>
    </row>
    <row r="161" spans="1:57" x14ac:dyDescent="0.3">
      <c r="A161" s="3">
        <v>46261</v>
      </c>
      <c r="B161" s="3">
        <v>46262</v>
      </c>
      <c r="C161">
        <v>0</v>
      </c>
      <c r="D161" s="3">
        <v>46262</v>
      </c>
      <c r="E161" s="26" t="s">
        <v>749</v>
      </c>
      <c r="G161" s="26" t="s">
        <v>238</v>
      </c>
      <c r="H161" s="26" t="s">
        <v>750</v>
      </c>
      <c r="I161" s="26" t="s">
        <v>230</v>
      </c>
      <c r="J161" s="2" t="s">
        <v>745</v>
      </c>
      <c r="K161" s="109">
        <v>15000</v>
      </c>
      <c r="L161" s="167">
        <v>1.8</v>
      </c>
      <c r="M161" s="20">
        <f>L161*K161</f>
        <v>27000</v>
      </c>
      <c r="N161" s="37">
        <f>0.05*K161</f>
        <v>750</v>
      </c>
      <c r="O161" s="26" t="s">
        <v>26</v>
      </c>
      <c r="P161" s="23" t="s">
        <v>26</v>
      </c>
      <c r="Q161" s="20">
        <v>0</v>
      </c>
      <c r="R161" s="20" t="s">
        <v>26</v>
      </c>
      <c r="S161" s="26" t="s">
        <v>26</v>
      </c>
      <c r="T161" s="20">
        <v>0</v>
      </c>
      <c r="U161" s="20" t="s">
        <v>26</v>
      </c>
      <c r="V161" s="23" t="s">
        <v>26</v>
      </c>
      <c r="W161" s="20">
        <v>0</v>
      </c>
      <c r="AD161" s="1">
        <f>AC161-K161</f>
        <v>-15000</v>
      </c>
      <c r="AN161"/>
      <c r="AR161"/>
    </row>
    <row r="162" spans="1:57" x14ac:dyDescent="0.3">
      <c r="A162" s="3"/>
      <c r="B162" s="3"/>
      <c r="D162" s="3"/>
      <c r="E162" s="26"/>
      <c r="G162" s="26"/>
      <c r="H162" s="26"/>
      <c r="I162" s="26"/>
      <c r="K162" s="109"/>
      <c r="L162" s="167"/>
      <c r="M162" s="20"/>
      <c r="O162" s="26"/>
      <c r="P162" s="23"/>
      <c r="S162" s="10"/>
      <c r="T162" s="11"/>
      <c r="U162" s="20"/>
      <c r="W162" s="20"/>
      <c r="AN162"/>
      <c r="AR162"/>
    </row>
    <row r="163" spans="1:57" x14ac:dyDescent="0.3">
      <c r="A163" s="3"/>
      <c r="B163" s="3"/>
      <c r="D163" s="3"/>
      <c r="E163" s="26"/>
      <c r="G163" s="26"/>
      <c r="H163" s="26"/>
      <c r="I163" s="26"/>
      <c r="K163" s="109"/>
      <c r="L163" s="167"/>
      <c r="M163" s="20"/>
      <c r="O163" s="26"/>
      <c r="P163" s="23"/>
      <c r="S163" s="10"/>
      <c r="T163" s="11"/>
      <c r="U163" s="20"/>
      <c r="W163" s="20"/>
      <c r="AN163"/>
      <c r="AR163"/>
    </row>
    <row r="164" spans="1:57" x14ac:dyDescent="0.3">
      <c r="A164" s="3"/>
      <c r="B164" s="3"/>
      <c r="D164" s="3"/>
      <c r="E164" s="26"/>
      <c r="G164" s="26"/>
      <c r="H164" s="26"/>
      <c r="I164" s="26"/>
      <c r="K164" s="109"/>
      <c r="L164" s="167"/>
      <c r="M164" s="20"/>
      <c r="O164" s="26"/>
      <c r="P164" s="23"/>
      <c r="S164" s="10"/>
      <c r="T164" s="11"/>
      <c r="U164" s="20"/>
      <c r="W164" s="20"/>
      <c r="AN164"/>
      <c r="AR164"/>
    </row>
    <row r="165" spans="1:57" x14ac:dyDescent="0.3">
      <c r="AN165"/>
      <c r="AR165"/>
    </row>
    <row r="166" spans="1:57" ht="15" thickBot="1" x14ac:dyDescent="0.35">
      <c r="A166" s="101"/>
      <c r="B166" s="101"/>
      <c r="C166" s="18"/>
      <c r="D166" s="101"/>
      <c r="E166" s="156"/>
      <c r="F166" s="18"/>
      <c r="G166" s="156"/>
      <c r="H166" s="18"/>
      <c r="I166" s="156"/>
      <c r="J166" s="35"/>
      <c r="K166" s="42"/>
      <c r="L166" s="168"/>
      <c r="M166" s="157">
        <f t="shared" si="92"/>
        <v>0</v>
      </c>
      <c r="N166" s="157">
        <f t="shared" si="93"/>
        <v>0</v>
      </c>
      <c r="O166" s="156"/>
      <c r="P166" s="154"/>
      <c r="Q166" s="155"/>
      <c r="R166" s="18"/>
      <c r="S166" s="18"/>
      <c r="T166" s="18"/>
      <c r="U166" s="18"/>
      <c r="V166" s="18"/>
      <c r="W166" s="64"/>
      <c r="X166" s="18"/>
      <c r="Y166" s="64"/>
      <c r="Z166" s="64"/>
      <c r="AA166" s="19"/>
      <c r="AB166" s="18"/>
      <c r="AC166" s="42"/>
      <c r="AD166" s="162">
        <f t="shared" si="100"/>
        <v>0</v>
      </c>
      <c r="AE166" s="18"/>
      <c r="AF166" s="64">
        <f t="shared" si="99"/>
        <v>0</v>
      </c>
      <c r="AG166" s="155"/>
      <c r="AH166" s="163">
        <f t="shared" si="97"/>
        <v>0</v>
      </c>
      <c r="AI166" s="163">
        <f>AG166-AF166+AJ166</f>
        <v>0</v>
      </c>
      <c r="AJ166" s="163"/>
      <c r="AK166" s="164">
        <f t="shared" si="96"/>
        <v>0</v>
      </c>
      <c r="AL166" s="163">
        <f>AK166*AC166</f>
        <v>0</v>
      </c>
      <c r="AM166" s="18"/>
      <c r="AN166"/>
      <c r="AR166"/>
    </row>
    <row r="167" spans="1:57" x14ac:dyDescent="0.3">
      <c r="D167" t="s">
        <v>519</v>
      </c>
      <c r="K167" s="30">
        <f>SUM(K92:K166)</f>
        <v>167022.92000000001</v>
      </c>
      <c r="M167" s="5">
        <f>SUM(M92:M166)</f>
        <v>809679.98600000003</v>
      </c>
      <c r="N167" s="5">
        <f>SUM(N92:N166)</f>
        <v>8351.1460000000006</v>
      </c>
      <c r="O167" s="6"/>
      <c r="P167" s="5"/>
      <c r="Q167" s="5">
        <f>SUM(Q92:Q166)</f>
        <v>30150.464800000002</v>
      </c>
      <c r="R167" s="5"/>
      <c r="S167" s="5"/>
      <c r="T167" s="5">
        <f>SUM(T92:T166)</f>
        <v>5394.4339999999993</v>
      </c>
      <c r="U167" s="5"/>
      <c r="V167" s="36"/>
      <c r="W167" s="5">
        <f>SUM(Q92:Q166)</f>
        <v>30150.464800000002</v>
      </c>
      <c r="X167" s="5">
        <f>SUM(X92:X166)</f>
        <v>326392.91700000002</v>
      </c>
      <c r="Y167" s="5"/>
      <c r="Z167" s="5">
        <f>SUM(W92:W166)</f>
        <v>625.56420000000003</v>
      </c>
      <c r="AA167" s="5"/>
      <c r="AB167" s="6"/>
      <c r="AC167" s="21">
        <f>SUM(AC92:AC166)</f>
        <v>95994.62</v>
      </c>
      <c r="AD167" s="30">
        <f>SUM(AD92:AD166)</f>
        <v>-71028.299999999988</v>
      </c>
      <c r="AE167" s="6"/>
      <c r="AF167" s="5">
        <f>SUM(AF92:AF166)</f>
        <v>561111.46950000001</v>
      </c>
      <c r="AG167" s="6"/>
      <c r="AH167" s="5">
        <f>SUM(AH92:AH166)</f>
        <v>512472.34293200006</v>
      </c>
      <c r="AI167" s="5">
        <f>SUM(AI92:AI166)</f>
        <v>-558018.96949999989</v>
      </c>
      <c r="AJ167" s="6"/>
      <c r="AK167" s="5"/>
      <c r="AL167" s="5">
        <f>SUM(AL92:AL166)</f>
        <v>340182.661548</v>
      </c>
      <c r="AM167" s="6"/>
      <c r="AN167" s="6"/>
      <c r="AO167" s="5"/>
      <c r="AP167" s="61"/>
      <c r="AQ167" s="6"/>
      <c r="AR167" s="6"/>
      <c r="AS167" s="5"/>
      <c r="AT167" s="54"/>
      <c r="AU167" s="6"/>
      <c r="AV167" s="5"/>
      <c r="AW167" s="5"/>
      <c r="AX167" s="5"/>
      <c r="AY167" s="5"/>
      <c r="AZ167" s="6"/>
      <c r="BA167" s="5"/>
      <c r="BB167" s="22"/>
    </row>
    <row r="168" spans="1:57" x14ac:dyDescent="0.3">
      <c r="M168" s="1">
        <f>M167-M104-M115-M116-M117-M125-M126-M110</f>
        <v>767197.53049999999</v>
      </c>
      <c r="N168" s="33">
        <f>T84+N167</f>
        <v>16925.926500000001</v>
      </c>
      <c r="AB168" s="6"/>
      <c r="AC168" s="97"/>
      <c r="AY168" s="1"/>
      <c r="AZ168" s="207"/>
      <c r="BA168" s="207"/>
      <c r="BB168" s="207"/>
      <c r="BC168" s="207"/>
      <c r="BD168" s="207"/>
      <c r="BE168" s="207"/>
    </row>
    <row r="169" spans="1:57" x14ac:dyDescent="0.3">
      <c r="AC169" s="1"/>
      <c r="AY169" s="1"/>
    </row>
    <row r="170" spans="1:57" ht="15" thickBot="1" x14ac:dyDescent="0.35">
      <c r="A170" s="32" t="s">
        <v>647</v>
      </c>
      <c r="D170" t="s">
        <v>171</v>
      </c>
    </row>
    <row r="171" spans="1:57" ht="72.599999999999994" thickBot="1" x14ac:dyDescent="0.35">
      <c r="A171" s="7" t="s">
        <v>11</v>
      </c>
      <c r="B171" s="8" t="s">
        <v>47</v>
      </c>
      <c r="C171" s="8" t="s">
        <v>1</v>
      </c>
      <c r="D171" s="8" t="s">
        <v>22</v>
      </c>
      <c r="E171" s="8" t="s">
        <v>4</v>
      </c>
      <c r="F171" s="8" t="s">
        <v>37</v>
      </c>
      <c r="G171" s="8" t="s">
        <v>39</v>
      </c>
      <c r="H171" s="8" t="s">
        <v>9</v>
      </c>
      <c r="I171" s="8" t="s">
        <v>652</v>
      </c>
      <c r="J171" s="8" t="s">
        <v>653</v>
      </c>
      <c r="K171" s="62" t="s">
        <v>17</v>
      </c>
      <c r="L171" s="62" t="s">
        <v>7</v>
      </c>
      <c r="M171" s="62" t="s">
        <v>38</v>
      </c>
      <c r="N171" s="8" t="s">
        <v>469</v>
      </c>
      <c r="O171" s="8" t="s">
        <v>52</v>
      </c>
      <c r="P171" s="8" t="s">
        <v>49</v>
      </c>
      <c r="Q171" s="8" t="s">
        <v>138</v>
      </c>
      <c r="R171" s="8" t="s">
        <v>139</v>
      </c>
      <c r="S171" s="8" t="s">
        <v>470</v>
      </c>
      <c r="T171" s="8" t="s">
        <v>138</v>
      </c>
      <c r="U171" s="8" t="s">
        <v>472</v>
      </c>
      <c r="V171" s="8" t="s">
        <v>471</v>
      </c>
      <c r="W171" s="8" t="s">
        <v>16</v>
      </c>
      <c r="X171" s="62" t="s">
        <v>105</v>
      </c>
      <c r="Y171" s="8" t="s">
        <v>518</v>
      </c>
      <c r="Z171" s="8" t="s">
        <v>473</v>
      </c>
      <c r="AA171" s="8" t="s">
        <v>474</v>
      </c>
      <c r="AB171" s="8" t="s">
        <v>477</v>
      </c>
      <c r="AC171" s="8" t="s">
        <v>478</v>
      </c>
      <c r="AD171" s="8" t="s">
        <v>475</v>
      </c>
      <c r="AE171" s="8" t="s">
        <v>476</v>
      </c>
      <c r="AF171" s="8" t="s">
        <v>639</v>
      </c>
      <c r="AG171" s="8" t="s">
        <v>479</v>
      </c>
      <c r="AH171" s="8" t="s">
        <v>640</v>
      </c>
      <c r="AI171" s="8" t="s">
        <v>267</v>
      </c>
      <c r="AJ171" s="8" t="s">
        <v>25</v>
      </c>
      <c r="AK171" s="8" t="s">
        <v>24</v>
      </c>
      <c r="AL171" s="9" t="s">
        <v>15</v>
      </c>
      <c r="AM171" s="58"/>
      <c r="AN171"/>
      <c r="AQ171" s="51"/>
      <c r="AR171"/>
    </row>
    <row r="172" spans="1:57" x14ac:dyDescent="0.3">
      <c r="A172" s="191">
        <v>46252</v>
      </c>
      <c r="B172" s="192">
        <v>46276</v>
      </c>
      <c r="C172" s="10">
        <v>0</v>
      </c>
      <c r="D172" s="192">
        <v>46276</v>
      </c>
      <c r="E172" s="10" t="s">
        <v>650</v>
      </c>
      <c r="F172" s="10" t="s">
        <v>684</v>
      </c>
      <c r="G172" s="10" t="s">
        <v>78</v>
      </c>
      <c r="H172" s="10" t="s">
        <v>230</v>
      </c>
      <c r="I172" s="16" t="s">
        <v>646</v>
      </c>
      <c r="J172" s="193">
        <v>38500</v>
      </c>
      <c r="K172" s="11">
        <v>7.5</v>
      </c>
      <c r="L172" s="11">
        <f>K172*J172</f>
        <v>288750</v>
      </c>
      <c r="M172" s="11">
        <f>0.05*J172</f>
        <v>1925</v>
      </c>
      <c r="N172" s="10" t="s">
        <v>289</v>
      </c>
      <c r="O172" s="103" t="s">
        <v>27</v>
      </c>
      <c r="P172" s="11">
        <v>9000</v>
      </c>
      <c r="Q172" s="13" t="s">
        <v>26</v>
      </c>
      <c r="R172" s="10" t="s">
        <v>26</v>
      </c>
      <c r="S172" s="13">
        <v>0</v>
      </c>
      <c r="T172" s="13" t="s">
        <v>26</v>
      </c>
      <c r="U172" s="10" t="s">
        <v>26</v>
      </c>
      <c r="V172" s="13">
        <v>0</v>
      </c>
      <c r="W172" s="13">
        <f>V172+S172+P172+M172+L172+X172</f>
        <v>299675</v>
      </c>
      <c r="X172" s="11">
        <v>0</v>
      </c>
      <c r="Y172" s="11">
        <f>W172/J172</f>
        <v>7.7837662337662339</v>
      </c>
      <c r="Z172" s="192">
        <v>46278</v>
      </c>
      <c r="AA172" s="10" t="s">
        <v>27</v>
      </c>
      <c r="AB172" s="193">
        <v>0</v>
      </c>
      <c r="AC172" s="193">
        <f>AB172-J172</f>
        <v>-38500</v>
      </c>
      <c r="AD172" s="11">
        <v>0</v>
      </c>
      <c r="AE172" s="11">
        <f>J172*AD172</f>
        <v>0</v>
      </c>
      <c r="AF172" s="10"/>
      <c r="AG172" s="11">
        <v>0</v>
      </c>
      <c r="AH172" s="11">
        <f>AF172-AE172+AI172</f>
        <v>0</v>
      </c>
      <c r="AI172" s="11"/>
      <c r="AJ172" s="13">
        <f>AD172-Y172</f>
        <v>-7.7837662337662339</v>
      </c>
      <c r="AK172" s="11">
        <f>AJ172*AB172</f>
        <v>0</v>
      </c>
      <c r="AL172" s="17">
        <f>AK172/W172</f>
        <v>0</v>
      </c>
      <c r="AM172" s="58"/>
      <c r="AN172"/>
      <c r="AQ172" s="51"/>
      <c r="AR172"/>
    </row>
    <row r="173" spans="1:57" x14ac:dyDescent="0.3">
      <c r="A173" s="191"/>
      <c r="B173" s="191"/>
      <c r="C173" s="10"/>
      <c r="D173" s="192"/>
      <c r="E173" s="10"/>
      <c r="F173" s="10"/>
      <c r="G173" s="10"/>
      <c r="H173" s="10"/>
      <c r="I173" s="16"/>
      <c r="J173" s="193"/>
      <c r="K173" s="11">
        <v>0</v>
      </c>
      <c r="L173" s="11">
        <f>K173*J173</f>
        <v>0</v>
      </c>
      <c r="M173" s="11">
        <f>0.05*J173</f>
        <v>0</v>
      </c>
      <c r="N173" s="10"/>
      <c r="O173" s="16"/>
      <c r="P173" s="11">
        <v>0</v>
      </c>
      <c r="Q173" s="13"/>
      <c r="R173" s="10"/>
      <c r="S173" s="13">
        <v>0</v>
      </c>
      <c r="T173" s="13"/>
      <c r="U173" s="10"/>
      <c r="V173" s="13">
        <v>0</v>
      </c>
      <c r="W173" s="13">
        <f>V173+S173+P173+M173+L173+X173</f>
        <v>0</v>
      </c>
      <c r="X173" s="11">
        <v>0</v>
      </c>
      <c r="Y173" s="11" t="e">
        <f>W173/J173</f>
        <v>#DIV/0!</v>
      </c>
      <c r="Z173" s="192"/>
      <c r="AA173" s="10"/>
      <c r="AB173" s="193">
        <v>0</v>
      </c>
      <c r="AC173" s="193">
        <f>AB173-J173</f>
        <v>0</v>
      </c>
      <c r="AD173" s="11">
        <v>0</v>
      </c>
      <c r="AE173" s="11">
        <f>J173*AD173</f>
        <v>0</v>
      </c>
      <c r="AF173" s="10"/>
      <c r="AG173" s="11">
        <v>0</v>
      </c>
      <c r="AH173" s="11">
        <f>AF173-AE173+AI173</f>
        <v>0</v>
      </c>
      <c r="AI173" s="11"/>
      <c r="AJ173" s="13" t="e">
        <f>AD173-Y173</f>
        <v>#DIV/0!</v>
      </c>
      <c r="AK173" s="11" t="e">
        <f>AJ173*AB173</f>
        <v>#DIV/0!</v>
      </c>
      <c r="AL173" s="17" t="e">
        <f>AK173/W173</f>
        <v>#DIV/0!</v>
      </c>
      <c r="AM173" s="58"/>
      <c r="AN173"/>
      <c r="AQ173" s="51"/>
      <c r="AR173"/>
    </row>
    <row r="174" spans="1:57" x14ac:dyDescent="0.3">
      <c r="A174" s="191"/>
      <c r="B174" s="191"/>
      <c r="C174" s="10"/>
      <c r="D174" s="192"/>
      <c r="E174" s="10"/>
      <c r="F174" s="10"/>
      <c r="G174" s="10"/>
      <c r="H174" s="10"/>
      <c r="I174" s="16"/>
      <c r="J174" s="193"/>
      <c r="K174" s="11">
        <v>0</v>
      </c>
      <c r="L174" s="11">
        <f>K174*J174</f>
        <v>0</v>
      </c>
      <c r="M174" s="11">
        <f>0.05*J174</f>
        <v>0</v>
      </c>
      <c r="N174" s="10"/>
      <c r="O174" s="16"/>
      <c r="P174" s="11">
        <v>0</v>
      </c>
      <c r="Q174" s="13"/>
      <c r="R174" s="10"/>
      <c r="S174" s="13">
        <v>0</v>
      </c>
      <c r="T174" s="13"/>
      <c r="U174" s="10"/>
      <c r="V174" s="13">
        <v>0</v>
      </c>
      <c r="W174" s="13">
        <f>V174+S174+P174+M174+L174+X174</f>
        <v>0</v>
      </c>
      <c r="X174" s="11">
        <v>0</v>
      </c>
      <c r="Y174" s="11" t="e">
        <f>W174/J174</f>
        <v>#DIV/0!</v>
      </c>
      <c r="Z174" s="192"/>
      <c r="AA174" s="10"/>
      <c r="AB174" s="193">
        <v>0</v>
      </c>
      <c r="AC174" s="193">
        <f>AB174-J174</f>
        <v>0</v>
      </c>
      <c r="AD174" s="11">
        <v>0</v>
      </c>
      <c r="AE174" s="11">
        <f>AD174*J174</f>
        <v>0</v>
      </c>
      <c r="AF174" s="10"/>
      <c r="AG174" s="11">
        <v>0</v>
      </c>
      <c r="AH174" s="11">
        <f>AF174-AE174+AI174</f>
        <v>0</v>
      </c>
      <c r="AI174" s="11"/>
      <c r="AJ174" s="13" t="e">
        <f>AD174-Y174</f>
        <v>#DIV/0!</v>
      </c>
      <c r="AK174" s="11" t="e">
        <f>AJ174*AB174</f>
        <v>#DIV/0!</v>
      </c>
      <c r="AL174" s="17" t="e">
        <f>AK174/W174</f>
        <v>#DIV/0!</v>
      </c>
      <c r="AM174" s="58"/>
      <c r="AN174"/>
      <c r="AQ174" s="51"/>
      <c r="AR174"/>
    </row>
    <row r="175" spans="1:57" x14ac:dyDescent="0.3">
      <c r="A175" s="191"/>
      <c r="B175" s="191"/>
      <c r="C175" s="10"/>
      <c r="D175" s="191"/>
      <c r="E175" s="10"/>
      <c r="F175" s="10"/>
      <c r="G175" s="10"/>
      <c r="H175" s="10"/>
      <c r="I175" s="194"/>
      <c r="J175" s="153"/>
      <c r="K175" s="195"/>
      <c r="L175" s="11">
        <f>K175*J175</f>
        <v>0</v>
      </c>
      <c r="M175" s="11">
        <f>0.05*J175</f>
        <v>0</v>
      </c>
      <c r="N175" s="10"/>
      <c r="O175" s="16"/>
      <c r="P175" s="11"/>
      <c r="Q175" s="13"/>
      <c r="R175" s="10"/>
      <c r="S175" s="13"/>
      <c r="T175" s="13"/>
      <c r="U175" s="13"/>
      <c r="V175" s="11"/>
      <c r="W175" s="13"/>
      <c r="X175" s="11"/>
      <c r="Y175" s="11"/>
      <c r="Z175" s="192"/>
      <c r="AA175" s="10"/>
      <c r="AB175" s="193"/>
      <c r="AC175" s="193">
        <f>AB175-J175</f>
        <v>0</v>
      </c>
      <c r="AD175" s="11"/>
      <c r="AE175" s="11">
        <f>AD175*J175</f>
        <v>0</v>
      </c>
      <c r="AF175" s="10"/>
      <c r="AG175" s="11">
        <f>AD175*AB175</f>
        <v>0</v>
      </c>
      <c r="AH175" s="11">
        <f>AF175-AE175+AI175</f>
        <v>0</v>
      </c>
      <c r="AI175" s="11"/>
      <c r="AJ175" s="13">
        <f>AD175-Y175</f>
        <v>0</v>
      </c>
      <c r="AK175" s="11">
        <f>AJ175*AB175</f>
        <v>0</v>
      </c>
      <c r="AL175" s="17"/>
      <c r="AM175" s="58"/>
      <c r="AN175"/>
      <c r="AQ175" s="51"/>
      <c r="AR175"/>
    </row>
    <row r="176" spans="1:57" ht="15" thickBot="1" x14ac:dyDescent="0.35">
      <c r="A176" s="196"/>
      <c r="B176" s="196"/>
      <c r="C176" s="155"/>
      <c r="D176" s="196"/>
      <c r="E176" s="155"/>
      <c r="F176" s="155"/>
      <c r="G176" s="155"/>
      <c r="H176" s="155"/>
      <c r="I176" s="154"/>
      <c r="J176" s="197"/>
      <c r="K176" s="198"/>
      <c r="L176" s="163">
        <f>K176*J176</f>
        <v>0</v>
      </c>
      <c r="M176" s="163">
        <f>0.05*J176</f>
        <v>0</v>
      </c>
      <c r="N176" s="155"/>
      <c r="O176" s="154"/>
      <c r="P176" s="155"/>
      <c r="Q176" s="155"/>
      <c r="R176" s="155"/>
      <c r="S176" s="155"/>
      <c r="T176" s="155"/>
      <c r="U176" s="155"/>
      <c r="V176" s="163"/>
      <c r="W176" s="155"/>
      <c r="X176" s="163"/>
      <c r="Y176" s="163"/>
      <c r="Z176" s="199"/>
      <c r="AA176" s="155"/>
      <c r="AB176" s="197"/>
      <c r="AC176" s="197">
        <f>AB176-J176</f>
        <v>0</v>
      </c>
      <c r="AD176" s="155"/>
      <c r="AE176" s="163">
        <f>AD176*J176</f>
        <v>0</v>
      </c>
      <c r="AF176" s="155"/>
      <c r="AG176" s="163">
        <f>AD176*AB176</f>
        <v>0</v>
      </c>
      <c r="AH176" s="163">
        <f>AF176-AE176+AI176</f>
        <v>0</v>
      </c>
      <c r="AI176" s="163"/>
      <c r="AJ176" s="164">
        <f>AD176-Y176</f>
        <v>0</v>
      </c>
      <c r="AK176" s="163">
        <f>AJ176*AB176</f>
        <v>0</v>
      </c>
      <c r="AL176" s="155"/>
      <c r="AM176" s="58"/>
      <c r="AN176"/>
      <c r="AQ176" s="51"/>
      <c r="AR176"/>
    </row>
    <row r="177" spans="4:39" x14ac:dyDescent="0.3">
      <c r="D177" t="s">
        <v>519</v>
      </c>
      <c r="K177" s="30">
        <f>SUM(J172:J176)</f>
        <v>38500</v>
      </c>
      <c r="M177" s="5">
        <f>SUM(L172:L176)</f>
        <v>288750</v>
      </c>
      <c r="N177" s="5">
        <f>SUM(M172:M176)</f>
        <v>1925</v>
      </c>
      <c r="O177" s="6"/>
      <c r="P177" s="5"/>
      <c r="Q177" s="5">
        <f>SUM(P172:P176)</f>
        <v>9000</v>
      </c>
      <c r="R177" s="5"/>
      <c r="S177" s="5"/>
      <c r="T177" s="5">
        <f>SUM(S172:S176)</f>
        <v>0</v>
      </c>
      <c r="U177" s="5"/>
      <c r="V177" s="36"/>
      <c r="W177" s="5">
        <f>SUM(P172:P176)</f>
        <v>9000</v>
      </c>
      <c r="X177" s="5">
        <f>SUM(W172:W176)</f>
        <v>299675</v>
      </c>
      <c r="Y177" s="5"/>
      <c r="Z177" s="5">
        <f>SUM(V172:V176)</f>
        <v>0</v>
      </c>
      <c r="AA177" s="5"/>
      <c r="AB177" s="6"/>
      <c r="AC177" s="21">
        <f>SUM(AB172:AB176)</f>
        <v>0</v>
      </c>
      <c r="AD177" s="30">
        <f>SUM(AC172:AC176)</f>
        <v>-38500</v>
      </c>
      <c r="AE177" s="6"/>
      <c r="AF177" s="5">
        <f>SUM(AE172:AE176)</f>
        <v>0</v>
      </c>
      <c r="AG177" s="6"/>
      <c r="AH177" s="5">
        <f>SUM(AG172:AG176)</f>
        <v>0</v>
      </c>
      <c r="AI177" s="5">
        <f>SUM(AH172:AH176)</f>
        <v>0</v>
      </c>
      <c r="AJ177" s="6"/>
      <c r="AK177" s="5"/>
      <c r="AL177" s="5" t="e">
        <f>SUM(AK172:AK176)</f>
        <v>#DIV/0!</v>
      </c>
      <c r="AM177" s="6"/>
    </row>
  </sheetData>
  <autoFilter ref="A91:BF91" xr:uid="{B8E6E98F-87FE-4631-B04E-6D13C6A2EA6B}"/>
  <mergeCells count="3">
    <mergeCell ref="AZ168:BE168"/>
    <mergeCell ref="P15:Q15"/>
    <mergeCell ref="P84:Q84"/>
  </mergeCells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5237-1140-4A99-8364-4C85CF274912}">
  <dimension ref="A1:P46"/>
  <sheetViews>
    <sheetView workbookViewId="0">
      <selection activeCell="B31" sqref="B31"/>
    </sheetView>
  </sheetViews>
  <sheetFormatPr defaultRowHeight="14.4" x14ac:dyDescent="0.3"/>
  <cols>
    <col min="2" max="2" width="44.88671875" customWidth="1"/>
    <col min="3" max="3" width="13.44140625" style="2" customWidth="1"/>
    <col min="4" max="4" width="8.6640625" style="2"/>
    <col min="5" max="5" width="13" style="1" customWidth="1"/>
    <col min="6" max="6" width="18.5546875" customWidth="1"/>
    <col min="7" max="7" width="17.6640625" customWidth="1"/>
  </cols>
  <sheetData>
    <row r="1" spans="1:6" x14ac:dyDescent="0.3">
      <c r="A1" s="6" t="s">
        <v>28</v>
      </c>
      <c r="B1" s="6" t="s">
        <v>60</v>
      </c>
      <c r="C1" s="15" t="s">
        <v>67</v>
      </c>
      <c r="D1" s="15" t="s">
        <v>68</v>
      </c>
      <c r="E1" s="36" t="s">
        <v>69</v>
      </c>
      <c r="F1" s="6" t="s">
        <v>327</v>
      </c>
    </row>
    <row r="2" spans="1:6" x14ac:dyDescent="0.3">
      <c r="A2" t="s">
        <v>302</v>
      </c>
      <c r="B2" t="s">
        <v>3</v>
      </c>
      <c r="C2" s="2" t="s">
        <v>63</v>
      </c>
      <c r="D2" s="2">
        <v>14</v>
      </c>
      <c r="E2" s="1">
        <v>100000</v>
      </c>
      <c r="F2" t="s">
        <v>344</v>
      </c>
    </row>
    <row r="3" spans="1:6" x14ac:dyDescent="0.3">
      <c r="A3" t="s">
        <v>174</v>
      </c>
      <c r="B3" t="s">
        <v>179</v>
      </c>
      <c r="C3" s="2" t="s">
        <v>63</v>
      </c>
      <c r="D3" s="2">
        <v>21</v>
      </c>
      <c r="E3" s="1">
        <v>200000</v>
      </c>
      <c r="F3" t="s">
        <v>335</v>
      </c>
    </row>
    <row r="4" spans="1:6" x14ac:dyDescent="0.3">
      <c r="A4" s="26" t="s">
        <v>220</v>
      </c>
      <c r="B4" s="26" t="s">
        <v>221</v>
      </c>
      <c r="C4" s="23" t="s">
        <v>63</v>
      </c>
      <c r="D4" s="23">
        <v>21</v>
      </c>
      <c r="E4" s="20">
        <v>75000</v>
      </c>
      <c r="F4" t="s">
        <v>338</v>
      </c>
    </row>
    <row r="5" spans="1:6" x14ac:dyDescent="0.3">
      <c r="A5" s="26" t="s">
        <v>201</v>
      </c>
      <c r="B5" s="26" t="s">
        <v>202</v>
      </c>
      <c r="C5" s="23" t="s">
        <v>63</v>
      </c>
      <c r="D5" s="23">
        <v>21</v>
      </c>
      <c r="E5" s="20">
        <v>75000</v>
      </c>
      <c r="F5" s="26" t="s">
        <v>336</v>
      </c>
    </row>
    <row r="6" spans="1:6" x14ac:dyDescent="0.3">
      <c r="A6" s="26" t="s">
        <v>298</v>
      </c>
      <c r="B6" s="26" t="s">
        <v>299</v>
      </c>
      <c r="C6" s="23" t="s">
        <v>63</v>
      </c>
      <c r="D6" s="23">
        <v>21</v>
      </c>
      <c r="E6" s="20">
        <v>100000</v>
      </c>
      <c r="F6" s="26" t="s">
        <v>343</v>
      </c>
    </row>
    <row r="7" spans="1:6" x14ac:dyDescent="0.3">
      <c r="A7" s="26" t="s">
        <v>259</v>
      </c>
      <c r="B7" s="26" t="s">
        <v>270</v>
      </c>
      <c r="C7" s="23" t="s">
        <v>63</v>
      </c>
      <c r="D7" s="23">
        <v>14</v>
      </c>
      <c r="E7" s="20">
        <v>50000</v>
      </c>
      <c r="F7" t="s">
        <v>339</v>
      </c>
    </row>
    <row r="8" spans="1:6" x14ac:dyDescent="0.3">
      <c r="A8" s="26" t="s">
        <v>127</v>
      </c>
      <c r="B8" s="26" t="s">
        <v>128</v>
      </c>
      <c r="C8" s="23" t="s">
        <v>63</v>
      </c>
      <c r="D8" s="23">
        <v>21</v>
      </c>
      <c r="E8" s="20">
        <v>100000</v>
      </c>
      <c r="F8" t="s">
        <v>330</v>
      </c>
    </row>
    <row r="9" spans="1:6" x14ac:dyDescent="0.3">
      <c r="A9" t="s">
        <v>98</v>
      </c>
      <c r="B9" t="s">
        <v>99</v>
      </c>
      <c r="C9" s="16"/>
      <c r="D9" s="16"/>
      <c r="F9" t="s">
        <v>346</v>
      </c>
    </row>
    <row r="10" spans="1:6" x14ac:dyDescent="0.3">
      <c r="A10" s="26" t="s">
        <v>442</v>
      </c>
      <c r="B10" s="26" t="s">
        <v>443</v>
      </c>
      <c r="C10" s="23" t="s">
        <v>63</v>
      </c>
      <c r="D10" s="23">
        <v>21</v>
      </c>
      <c r="E10" s="20">
        <v>100000</v>
      </c>
      <c r="F10" s="26" t="s">
        <v>445</v>
      </c>
    </row>
    <row r="11" spans="1:6" x14ac:dyDescent="0.3">
      <c r="A11" t="s">
        <v>131</v>
      </c>
      <c r="B11" t="s">
        <v>132</v>
      </c>
      <c r="C11" s="2" t="s">
        <v>63</v>
      </c>
      <c r="D11" s="2">
        <v>21</v>
      </c>
      <c r="E11" s="1">
        <v>50000</v>
      </c>
      <c r="F11" t="s">
        <v>332</v>
      </c>
    </row>
    <row r="12" spans="1:6" x14ac:dyDescent="0.3">
      <c r="A12" t="s">
        <v>125</v>
      </c>
      <c r="B12" t="s">
        <v>126</v>
      </c>
      <c r="C12" s="23" t="s">
        <v>70</v>
      </c>
      <c r="D12" s="23">
        <v>21</v>
      </c>
      <c r="E12" s="20">
        <v>200000</v>
      </c>
      <c r="F12" t="s">
        <v>329</v>
      </c>
    </row>
    <row r="13" spans="1:6" x14ac:dyDescent="0.3">
      <c r="A13" s="26" t="s">
        <v>218</v>
      </c>
      <c r="B13" s="26" t="s">
        <v>219</v>
      </c>
      <c r="C13" s="23" t="s">
        <v>63</v>
      </c>
      <c r="D13" s="23">
        <v>21</v>
      </c>
      <c r="E13" s="20">
        <v>50000</v>
      </c>
      <c r="F13" t="s">
        <v>337</v>
      </c>
    </row>
    <row r="14" spans="1:6" x14ac:dyDescent="0.3">
      <c r="A14" s="26" t="s">
        <v>129</v>
      </c>
      <c r="B14" s="26" t="s">
        <v>130</v>
      </c>
      <c r="C14" s="23" t="s">
        <v>63</v>
      </c>
      <c r="D14" s="23">
        <v>21</v>
      </c>
      <c r="E14" s="20">
        <v>25000</v>
      </c>
      <c r="F14" s="26" t="s">
        <v>331</v>
      </c>
    </row>
    <row r="15" spans="1:6" x14ac:dyDescent="0.3">
      <c r="A15" t="s">
        <v>188</v>
      </c>
      <c r="B15" t="s">
        <v>306</v>
      </c>
      <c r="F15" t="s">
        <v>349</v>
      </c>
    </row>
    <row r="16" spans="1:6" x14ac:dyDescent="0.3">
      <c r="A16" t="s">
        <v>322</v>
      </c>
      <c r="B16" t="s">
        <v>323</v>
      </c>
      <c r="C16" s="2" t="s">
        <v>318</v>
      </c>
      <c r="D16" s="2">
        <v>21</v>
      </c>
      <c r="E16" s="1">
        <v>150000</v>
      </c>
      <c r="F16" t="s">
        <v>350</v>
      </c>
    </row>
    <row r="17" spans="1:6" x14ac:dyDescent="0.3">
      <c r="A17" t="s">
        <v>325</v>
      </c>
      <c r="B17" t="s">
        <v>326</v>
      </c>
      <c r="C17" s="2" t="s">
        <v>64</v>
      </c>
      <c r="F17" t="s">
        <v>351</v>
      </c>
    </row>
    <row r="18" spans="1:6" x14ac:dyDescent="0.3">
      <c r="A18" s="26" t="s">
        <v>417</v>
      </c>
      <c r="B18" s="26" t="s">
        <v>418</v>
      </c>
      <c r="C18" s="16" t="s">
        <v>318</v>
      </c>
      <c r="D18" s="2">
        <v>21</v>
      </c>
      <c r="E18" s="1">
        <v>100000</v>
      </c>
      <c r="F18" t="s">
        <v>419</v>
      </c>
    </row>
    <row r="19" spans="1:6" x14ac:dyDescent="0.3">
      <c r="A19" s="26" t="s">
        <v>146</v>
      </c>
      <c r="B19" s="26" t="s">
        <v>149</v>
      </c>
      <c r="C19" s="23" t="s">
        <v>63</v>
      </c>
      <c r="D19" s="23">
        <v>21</v>
      </c>
      <c r="E19" s="20">
        <v>50000</v>
      </c>
      <c r="F19" s="26" t="s">
        <v>334</v>
      </c>
    </row>
    <row r="20" spans="1:6" x14ac:dyDescent="0.3">
      <c r="A20" t="s">
        <v>275</v>
      </c>
      <c r="B20" t="s">
        <v>276</v>
      </c>
      <c r="C20" s="23" t="s">
        <v>318</v>
      </c>
      <c r="D20" s="23">
        <v>21</v>
      </c>
      <c r="E20" s="20">
        <v>275000</v>
      </c>
      <c r="F20" t="s">
        <v>340</v>
      </c>
    </row>
    <row r="21" spans="1:6" x14ac:dyDescent="0.3">
      <c r="A21" t="s">
        <v>353</v>
      </c>
      <c r="B21" t="s">
        <v>352</v>
      </c>
      <c r="F21" t="s">
        <v>354</v>
      </c>
    </row>
    <row r="22" spans="1:6" x14ac:dyDescent="0.3">
      <c r="A22" s="26" t="s">
        <v>300</v>
      </c>
      <c r="B22" s="26" t="s">
        <v>301</v>
      </c>
      <c r="C22" s="23" t="s">
        <v>63</v>
      </c>
      <c r="D22" s="23">
        <v>21</v>
      </c>
      <c r="E22" s="20">
        <v>75000</v>
      </c>
      <c r="F22" s="26" t="s">
        <v>365</v>
      </c>
    </row>
    <row r="23" spans="1:6" x14ac:dyDescent="0.3">
      <c r="A23" t="s">
        <v>147</v>
      </c>
      <c r="B23" t="s">
        <v>148</v>
      </c>
      <c r="C23" s="23" t="s">
        <v>63</v>
      </c>
      <c r="D23" s="23">
        <v>21</v>
      </c>
      <c r="E23" s="20">
        <v>50000</v>
      </c>
      <c r="F23" t="s">
        <v>333</v>
      </c>
    </row>
    <row r="24" spans="1:6" x14ac:dyDescent="0.3">
      <c r="A24" t="s">
        <v>303</v>
      </c>
      <c r="B24" t="s">
        <v>304</v>
      </c>
      <c r="F24" t="s">
        <v>355</v>
      </c>
    </row>
    <row r="25" spans="1:6" x14ac:dyDescent="0.3">
      <c r="A25" t="s">
        <v>145</v>
      </c>
      <c r="B25" t="s">
        <v>305</v>
      </c>
      <c r="F25" t="s">
        <v>347</v>
      </c>
    </row>
    <row r="26" spans="1:6" x14ac:dyDescent="0.3">
      <c r="A26" t="s">
        <v>42</v>
      </c>
      <c r="B26" t="s">
        <v>35</v>
      </c>
      <c r="C26" s="23" t="s">
        <v>70</v>
      </c>
      <c r="D26" s="23">
        <v>30</v>
      </c>
      <c r="E26" s="20">
        <v>200000</v>
      </c>
      <c r="F26" t="s">
        <v>328</v>
      </c>
    </row>
    <row r="27" spans="1:6" x14ac:dyDescent="0.3">
      <c r="A27" s="26" t="s">
        <v>534</v>
      </c>
      <c r="B27" s="26" t="s">
        <v>535</v>
      </c>
      <c r="C27" s="23" t="s">
        <v>63</v>
      </c>
      <c r="D27" s="23">
        <v>21</v>
      </c>
      <c r="E27" s="20">
        <v>50000</v>
      </c>
      <c r="F27" s="26" t="s">
        <v>536</v>
      </c>
    </row>
    <row r="28" spans="1:6" x14ac:dyDescent="0.3">
      <c r="A28" s="26" t="s">
        <v>316</v>
      </c>
      <c r="B28" s="26" t="s">
        <v>317</v>
      </c>
      <c r="C28" s="2" t="s">
        <v>318</v>
      </c>
      <c r="D28" s="2">
        <v>21</v>
      </c>
      <c r="E28" s="20">
        <v>50000</v>
      </c>
      <c r="F28" t="s">
        <v>342</v>
      </c>
    </row>
    <row r="29" spans="1:6" x14ac:dyDescent="0.3">
      <c r="A29" s="26" t="s">
        <v>40</v>
      </c>
      <c r="B29" s="26" t="s">
        <v>33</v>
      </c>
      <c r="C29" s="23" t="s">
        <v>63</v>
      </c>
      <c r="D29" s="23" t="s">
        <v>367</v>
      </c>
      <c r="E29" s="20">
        <v>300000</v>
      </c>
      <c r="F29" s="26" t="s">
        <v>345</v>
      </c>
    </row>
    <row r="30" spans="1:6" x14ac:dyDescent="0.3">
      <c r="A30" t="s">
        <v>433</v>
      </c>
      <c r="B30" t="s">
        <v>436</v>
      </c>
      <c r="F30" t="s">
        <v>431</v>
      </c>
    </row>
    <row r="31" spans="1:6" x14ac:dyDescent="0.3">
      <c r="A31" s="26" t="s">
        <v>432</v>
      </c>
      <c r="B31" s="26" t="s">
        <v>435</v>
      </c>
      <c r="C31" s="23" t="s">
        <v>63</v>
      </c>
      <c r="D31" s="23">
        <v>30</v>
      </c>
      <c r="E31" s="20">
        <v>100000</v>
      </c>
      <c r="F31" s="26" t="s">
        <v>430</v>
      </c>
    </row>
    <row r="32" spans="1:6" x14ac:dyDescent="0.3">
      <c r="B32" t="s">
        <v>434</v>
      </c>
      <c r="F32" t="s">
        <v>348</v>
      </c>
    </row>
    <row r="33" spans="1:16" x14ac:dyDescent="0.3">
      <c r="B33" t="s">
        <v>356</v>
      </c>
    </row>
    <row r="34" spans="1:16" x14ac:dyDescent="0.3">
      <c r="B34" t="s">
        <v>357</v>
      </c>
    </row>
    <row r="35" spans="1:16" x14ac:dyDescent="0.3">
      <c r="B35" t="s">
        <v>427</v>
      </c>
      <c r="F35" t="s">
        <v>428</v>
      </c>
    </row>
    <row r="36" spans="1:16" x14ac:dyDescent="0.3">
      <c r="B36" t="s">
        <v>583</v>
      </c>
      <c r="F36" t="s">
        <v>584</v>
      </c>
    </row>
    <row r="37" spans="1:16" x14ac:dyDescent="0.3">
      <c r="B37" t="s">
        <v>585</v>
      </c>
      <c r="F37" t="s">
        <v>594</v>
      </c>
    </row>
    <row r="38" spans="1:16" x14ac:dyDescent="0.3">
      <c r="A38" t="s">
        <v>592</v>
      </c>
      <c r="B38" t="s">
        <v>696</v>
      </c>
      <c r="F38" t="s">
        <v>593</v>
      </c>
    </row>
    <row r="39" spans="1:16" x14ac:dyDescent="0.3">
      <c r="A39" t="s">
        <v>733</v>
      </c>
      <c r="B39" t="s">
        <v>695</v>
      </c>
      <c r="F39" t="s">
        <v>740</v>
      </c>
    </row>
    <row r="40" spans="1:16" x14ac:dyDescent="0.3">
      <c r="A40" t="s">
        <v>736</v>
      </c>
      <c r="B40" t="s">
        <v>735</v>
      </c>
      <c r="F40" t="s">
        <v>741</v>
      </c>
    </row>
    <row r="41" spans="1:16" x14ac:dyDescent="0.3">
      <c r="A41" t="s">
        <v>734</v>
      </c>
      <c r="B41" t="s">
        <v>737</v>
      </c>
      <c r="F41" t="s">
        <v>740</v>
      </c>
    </row>
    <row r="42" spans="1:16" x14ac:dyDescent="0.3">
      <c r="A42" t="s">
        <v>739</v>
      </c>
      <c r="B42" t="s">
        <v>738</v>
      </c>
      <c r="F42" t="s">
        <v>668</v>
      </c>
    </row>
    <row r="43" spans="1:16" x14ac:dyDescent="0.3">
      <c r="B43" t="s">
        <v>667</v>
      </c>
      <c r="F43" t="s">
        <v>669</v>
      </c>
      <c r="G43" t="s">
        <v>670</v>
      </c>
    </row>
    <row r="45" spans="1:16" ht="15" thickBot="1" x14ac:dyDescent="0.35">
      <c r="A45" s="18"/>
      <c r="B45" s="18"/>
      <c r="C45" s="35"/>
      <c r="D45" s="35"/>
      <c r="E45" s="6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x14ac:dyDescent="0.3">
      <c r="E46" s="1">
        <f>SUM(E2:E45)</f>
        <v>2525000</v>
      </c>
    </row>
  </sheetData>
  <autoFilter ref="A1:P1" xr:uid="{CCDF5237-1140-4A99-8364-4C85CF27491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13A7-3C77-4D58-A64D-701B16D96150}">
  <dimension ref="A1:Z36"/>
  <sheetViews>
    <sheetView workbookViewId="0">
      <selection activeCell="D25" sqref="D25"/>
    </sheetView>
  </sheetViews>
  <sheetFormatPr defaultRowHeight="14.4" x14ac:dyDescent="0.3"/>
  <cols>
    <col min="2" max="2" width="22.44140625" customWidth="1"/>
    <col min="4" max="4" width="11.109375" bestFit="1" customWidth="1"/>
    <col min="5" max="5" width="10.6640625" customWidth="1"/>
    <col min="6" max="6" width="15.44140625" customWidth="1"/>
    <col min="8" max="8" width="33.109375" customWidth="1"/>
    <col min="11" max="11" width="11.6640625" customWidth="1"/>
    <col min="12" max="12" width="13.33203125" customWidth="1"/>
    <col min="13" max="13" width="9.44140625" customWidth="1"/>
    <col min="14" max="14" width="26.33203125" customWidth="1"/>
    <col min="15" max="16" width="10.6640625" customWidth="1"/>
    <col min="17" max="17" width="12" customWidth="1"/>
    <col min="19" max="19" width="16.5546875" customWidth="1"/>
    <col min="20" max="20" width="20.109375" customWidth="1"/>
  </cols>
  <sheetData>
    <row r="1" spans="1:26" x14ac:dyDescent="0.3">
      <c r="A1" s="211" t="s">
        <v>80</v>
      </c>
      <c r="B1" s="211"/>
      <c r="C1" s="211"/>
      <c r="D1" s="211"/>
      <c r="E1" s="211"/>
      <c r="G1" s="211" t="s">
        <v>81</v>
      </c>
      <c r="H1" s="211"/>
      <c r="I1" s="211"/>
      <c r="J1" s="211"/>
      <c r="K1" s="211"/>
      <c r="M1" s="211" t="s">
        <v>83</v>
      </c>
      <c r="N1" s="211"/>
      <c r="O1" s="211"/>
      <c r="P1" s="211"/>
      <c r="Q1" s="211"/>
      <c r="S1" s="211" t="s">
        <v>520</v>
      </c>
      <c r="T1" s="211"/>
      <c r="U1" s="211"/>
      <c r="V1" s="211"/>
      <c r="W1" s="211"/>
      <c r="X1" s="211"/>
      <c r="Y1" s="211"/>
      <c r="Z1" s="211"/>
    </row>
    <row r="2" spans="1:26" s="6" customFormat="1" x14ac:dyDescent="0.3">
      <c r="A2" s="6" t="s">
        <v>28</v>
      </c>
      <c r="B2" s="6" t="s">
        <v>60</v>
      </c>
      <c r="C2" s="6" t="s">
        <v>61</v>
      </c>
      <c r="D2" s="6" t="s">
        <v>94</v>
      </c>
      <c r="E2" s="6" t="s">
        <v>62</v>
      </c>
      <c r="G2" s="6" t="s">
        <v>28</v>
      </c>
      <c r="H2" s="6" t="s">
        <v>60</v>
      </c>
      <c r="I2" s="6" t="s">
        <v>61</v>
      </c>
      <c r="J2" s="6" t="s">
        <v>94</v>
      </c>
      <c r="K2" s="6" t="s">
        <v>62</v>
      </c>
      <c r="M2" s="6" t="s">
        <v>28</v>
      </c>
      <c r="N2" s="6" t="s">
        <v>60</v>
      </c>
      <c r="O2" s="6" t="s">
        <v>61</v>
      </c>
      <c r="P2" s="6" t="s">
        <v>94</v>
      </c>
      <c r="Q2" s="6" t="s">
        <v>62</v>
      </c>
      <c r="S2" s="6" t="s">
        <v>28</v>
      </c>
      <c r="T2" s="6" t="s">
        <v>60</v>
      </c>
    </row>
    <row r="3" spans="1:26" x14ac:dyDescent="0.3">
      <c r="A3" t="s">
        <v>174</v>
      </c>
      <c r="B3" t="s">
        <v>97</v>
      </c>
      <c r="C3">
        <v>30</v>
      </c>
      <c r="D3" s="1">
        <v>72000</v>
      </c>
      <c r="E3" t="s">
        <v>64</v>
      </c>
      <c r="M3" s="26" t="s">
        <v>320</v>
      </c>
      <c r="N3" s="26" t="s">
        <v>321</v>
      </c>
      <c r="O3" s="26" t="s">
        <v>291</v>
      </c>
      <c r="P3" s="26">
        <v>5000</v>
      </c>
      <c r="Q3" s="26" t="s">
        <v>63</v>
      </c>
    </row>
    <row r="4" spans="1:26" x14ac:dyDescent="0.3">
      <c r="A4" t="s">
        <v>169</v>
      </c>
      <c r="B4" t="s">
        <v>168</v>
      </c>
      <c r="D4" s="1">
        <v>0</v>
      </c>
    </row>
    <row r="5" spans="1:26" x14ac:dyDescent="0.3">
      <c r="A5" s="26" t="s">
        <v>84</v>
      </c>
      <c r="B5" s="26" t="s">
        <v>86</v>
      </c>
      <c r="C5" s="26" t="s">
        <v>389</v>
      </c>
      <c r="D5" s="20" t="s">
        <v>421</v>
      </c>
      <c r="E5" s="26" t="s">
        <v>63</v>
      </c>
      <c r="J5" s="1"/>
      <c r="M5" t="s">
        <v>160</v>
      </c>
      <c r="N5" t="s">
        <v>161</v>
      </c>
    </row>
    <row r="6" spans="1:26" x14ac:dyDescent="0.3">
      <c r="A6" t="s">
        <v>372</v>
      </c>
      <c r="B6" t="s">
        <v>373</v>
      </c>
      <c r="C6" t="s">
        <v>480</v>
      </c>
      <c r="D6" t="s">
        <v>480</v>
      </c>
    </row>
    <row r="7" spans="1:26" x14ac:dyDescent="0.3">
      <c r="A7" t="s">
        <v>170</v>
      </c>
      <c r="B7" t="s">
        <v>312</v>
      </c>
      <c r="C7" t="s">
        <v>293</v>
      </c>
      <c r="D7" s="1">
        <v>0</v>
      </c>
      <c r="E7" t="s">
        <v>63</v>
      </c>
    </row>
    <row r="8" spans="1:26" x14ac:dyDescent="0.3">
      <c r="A8" t="s">
        <v>166</v>
      </c>
      <c r="B8" t="s">
        <v>167</v>
      </c>
      <c r="C8" t="s">
        <v>45</v>
      </c>
      <c r="D8" s="1">
        <v>0</v>
      </c>
      <c r="E8" t="s">
        <v>63</v>
      </c>
      <c r="M8" t="s">
        <v>574</v>
      </c>
      <c r="N8" t="s">
        <v>575</v>
      </c>
      <c r="O8">
        <v>7</v>
      </c>
      <c r="P8" t="s">
        <v>27</v>
      </c>
      <c r="Q8" t="s">
        <v>576</v>
      </c>
    </row>
    <row r="9" spans="1:26" x14ac:dyDescent="0.3">
      <c r="A9" t="s">
        <v>182</v>
      </c>
      <c r="B9" t="s">
        <v>183</v>
      </c>
      <c r="C9">
        <v>21</v>
      </c>
      <c r="D9" s="1">
        <v>50000</v>
      </c>
      <c r="E9" t="s">
        <v>63</v>
      </c>
    </row>
    <row r="10" spans="1:26" x14ac:dyDescent="0.3">
      <c r="A10" s="67" t="s">
        <v>102</v>
      </c>
      <c r="B10" s="67" t="s">
        <v>133</v>
      </c>
      <c r="C10" s="67">
        <v>14</v>
      </c>
      <c r="D10" s="68">
        <v>0</v>
      </c>
      <c r="E10" s="67" t="s">
        <v>313</v>
      </c>
      <c r="M10" t="s">
        <v>375</v>
      </c>
      <c r="N10" t="s">
        <v>374</v>
      </c>
    </row>
    <row r="11" spans="1:26" x14ac:dyDescent="0.3">
      <c r="A11" t="s">
        <v>563</v>
      </c>
      <c r="B11" t="s">
        <v>562</v>
      </c>
      <c r="C11" t="s">
        <v>27</v>
      </c>
      <c r="D11" t="s">
        <v>27</v>
      </c>
      <c r="E11" t="s">
        <v>64</v>
      </c>
    </row>
    <row r="12" spans="1:26" x14ac:dyDescent="0.3">
      <c r="A12" t="s">
        <v>65</v>
      </c>
      <c r="B12" t="s">
        <v>66</v>
      </c>
      <c r="C12" t="s">
        <v>27</v>
      </c>
      <c r="D12" s="1">
        <v>0</v>
      </c>
      <c r="E12" t="s">
        <v>64</v>
      </c>
      <c r="G12" t="s">
        <v>134</v>
      </c>
      <c r="H12" t="s">
        <v>82</v>
      </c>
      <c r="I12">
        <v>30</v>
      </c>
      <c r="J12" s="1"/>
      <c r="K12" t="s">
        <v>63</v>
      </c>
      <c r="M12" t="s">
        <v>155</v>
      </c>
      <c r="N12" t="s">
        <v>156</v>
      </c>
      <c r="P12" s="1"/>
    </row>
    <row r="13" spans="1:26" x14ac:dyDescent="0.3">
      <c r="A13" t="s">
        <v>261</v>
      </c>
      <c r="B13" t="s">
        <v>260</v>
      </c>
      <c r="C13" t="s">
        <v>45</v>
      </c>
      <c r="E13" t="s">
        <v>63</v>
      </c>
    </row>
    <row r="14" spans="1:26" x14ac:dyDescent="0.3">
      <c r="A14" s="26" t="s">
        <v>296</v>
      </c>
      <c r="B14" s="26" t="s">
        <v>297</v>
      </c>
      <c r="C14" s="26">
        <v>15</v>
      </c>
      <c r="D14" s="20">
        <v>5000</v>
      </c>
      <c r="E14" s="26" t="s">
        <v>63</v>
      </c>
    </row>
    <row r="15" spans="1:26" x14ac:dyDescent="0.3">
      <c r="A15" t="s">
        <v>506</v>
      </c>
      <c r="B15" t="s">
        <v>505</v>
      </c>
      <c r="C15" t="s">
        <v>27</v>
      </c>
      <c r="D15" t="s">
        <v>27</v>
      </c>
      <c r="E15" t="s">
        <v>64</v>
      </c>
    </row>
    <row r="16" spans="1:26" x14ac:dyDescent="0.3">
      <c r="A16" t="s">
        <v>542</v>
      </c>
      <c r="B16" t="s">
        <v>543</v>
      </c>
      <c r="C16" t="s">
        <v>27</v>
      </c>
      <c r="D16" t="s">
        <v>27</v>
      </c>
      <c r="E16" t="s">
        <v>64</v>
      </c>
    </row>
    <row r="17" spans="1:20" x14ac:dyDescent="0.3">
      <c r="A17" t="s">
        <v>446</v>
      </c>
      <c r="B17" t="s">
        <v>441</v>
      </c>
    </row>
    <row r="18" spans="1:20" x14ac:dyDescent="0.3">
      <c r="A18" t="s">
        <v>164</v>
      </c>
      <c r="B18" t="s">
        <v>165</v>
      </c>
      <c r="C18" t="s">
        <v>27</v>
      </c>
      <c r="D18" s="1">
        <v>0</v>
      </c>
      <c r="M18" t="s">
        <v>537</v>
      </c>
      <c r="N18" t="s">
        <v>538</v>
      </c>
    </row>
    <row r="19" spans="1:20" x14ac:dyDescent="0.3">
      <c r="A19" t="s">
        <v>188</v>
      </c>
      <c r="B19" t="s">
        <v>189</v>
      </c>
      <c r="C19" t="s">
        <v>45</v>
      </c>
      <c r="D19" s="1">
        <v>0</v>
      </c>
    </row>
    <row r="20" spans="1:20" x14ac:dyDescent="0.3">
      <c r="A20" t="s">
        <v>205</v>
      </c>
      <c r="B20" t="s">
        <v>206</v>
      </c>
      <c r="C20" t="s">
        <v>45</v>
      </c>
    </row>
    <row r="21" spans="1:20" x14ac:dyDescent="0.3">
      <c r="A21" t="s">
        <v>76</v>
      </c>
      <c r="B21" t="s">
        <v>77</v>
      </c>
      <c r="C21">
        <v>14</v>
      </c>
      <c r="D21" s="1">
        <v>0</v>
      </c>
      <c r="E21" t="s">
        <v>64</v>
      </c>
      <c r="G21" t="s">
        <v>163</v>
      </c>
      <c r="H21" t="s">
        <v>162</v>
      </c>
      <c r="I21" t="s">
        <v>27</v>
      </c>
      <c r="J21" s="1"/>
      <c r="M21" t="s">
        <v>157</v>
      </c>
      <c r="N21" t="s">
        <v>135</v>
      </c>
      <c r="O21">
        <v>30</v>
      </c>
      <c r="P21" t="s">
        <v>27</v>
      </c>
      <c r="Q21" t="s">
        <v>63</v>
      </c>
    </row>
    <row r="22" spans="1:20" x14ac:dyDescent="0.3">
      <c r="A22" t="s">
        <v>95</v>
      </c>
      <c r="B22" t="s">
        <v>96</v>
      </c>
      <c r="C22">
        <v>14</v>
      </c>
      <c r="D22" s="1">
        <v>0</v>
      </c>
      <c r="E22" t="s">
        <v>64</v>
      </c>
      <c r="M22" t="s">
        <v>319</v>
      </c>
      <c r="N22" t="s">
        <v>294</v>
      </c>
      <c r="R22" t="s">
        <v>295</v>
      </c>
    </row>
    <row r="23" spans="1:20" x14ac:dyDescent="0.3">
      <c r="A23" t="s">
        <v>578</v>
      </c>
      <c r="B23" t="s">
        <v>577</v>
      </c>
    </row>
    <row r="24" spans="1:20" x14ac:dyDescent="0.3">
      <c r="A24" s="14" t="s">
        <v>141</v>
      </c>
      <c r="B24" s="14" t="s">
        <v>142</v>
      </c>
      <c r="C24" s="14" t="s">
        <v>26</v>
      </c>
      <c r="D24" s="34" t="s">
        <v>26</v>
      </c>
      <c r="E24" s="14" t="s">
        <v>26</v>
      </c>
      <c r="M24" t="s">
        <v>423</v>
      </c>
      <c r="N24" t="s">
        <v>422</v>
      </c>
    </row>
    <row r="25" spans="1:20" x14ac:dyDescent="0.3">
      <c r="A25" s="26" t="s">
        <v>56</v>
      </c>
      <c r="B25" s="26" t="s">
        <v>58</v>
      </c>
      <c r="C25" s="26">
        <v>14</v>
      </c>
      <c r="D25" s="20">
        <v>0</v>
      </c>
      <c r="E25" s="26" t="s">
        <v>63</v>
      </c>
      <c r="G25" t="s">
        <v>89</v>
      </c>
      <c r="H25" t="s">
        <v>92</v>
      </c>
      <c r="I25">
        <v>30</v>
      </c>
      <c r="J25" s="1"/>
      <c r="K25" t="s">
        <v>63</v>
      </c>
      <c r="M25" t="s">
        <v>152</v>
      </c>
      <c r="N25" t="s">
        <v>151</v>
      </c>
      <c r="P25" s="1"/>
    </row>
    <row r="26" spans="1:20" x14ac:dyDescent="0.3">
      <c r="A26" t="s">
        <v>524</v>
      </c>
      <c r="B26" t="s">
        <v>525</v>
      </c>
      <c r="C26" t="s">
        <v>45</v>
      </c>
    </row>
    <row r="27" spans="1:20" x14ac:dyDescent="0.3">
      <c r="A27" t="s">
        <v>391</v>
      </c>
      <c r="B27" t="s">
        <v>392</v>
      </c>
      <c r="C27">
        <v>30</v>
      </c>
      <c r="D27" t="s">
        <v>421</v>
      </c>
    </row>
    <row r="28" spans="1:20" x14ac:dyDescent="0.3">
      <c r="A28" t="s">
        <v>85</v>
      </c>
      <c r="B28" t="s">
        <v>87</v>
      </c>
      <c r="C28" t="s">
        <v>45</v>
      </c>
      <c r="D28" s="1">
        <v>0</v>
      </c>
      <c r="E28" t="s">
        <v>64</v>
      </c>
      <c r="J28" s="1"/>
      <c r="M28" t="s">
        <v>289</v>
      </c>
      <c r="N28" t="s">
        <v>288</v>
      </c>
      <c r="O28" t="s">
        <v>291</v>
      </c>
      <c r="Q28" t="s">
        <v>64</v>
      </c>
    </row>
    <row r="29" spans="1:20" x14ac:dyDescent="0.3">
      <c r="A29" t="s">
        <v>57</v>
      </c>
      <c r="B29" t="s">
        <v>59</v>
      </c>
      <c r="C29">
        <v>14</v>
      </c>
      <c r="D29" s="1" t="s">
        <v>421</v>
      </c>
      <c r="E29" t="s">
        <v>63</v>
      </c>
      <c r="G29" t="s">
        <v>90</v>
      </c>
      <c r="H29" t="s">
        <v>93</v>
      </c>
      <c r="I29">
        <v>30</v>
      </c>
      <c r="J29" s="1"/>
      <c r="K29" t="s">
        <v>63</v>
      </c>
      <c r="M29" t="s">
        <v>153</v>
      </c>
      <c r="N29" t="s">
        <v>154</v>
      </c>
      <c r="P29" s="1"/>
    </row>
    <row r="30" spans="1:20" x14ac:dyDescent="0.3">
      <c r="A30" t="s">
        <v>552</v>
      </c>
      <c r="B30" t="s">
        <v>551</v>
      </c>
      <c r="C30" t="s">
        <v>27</v>
      </c>
      <c r="D30" t="s">
        <v>27</v>
      </c>
      <c r="E30" t="s">
        <v>64</v>
      </c>
    </row>
    <row r="31" spans="1:20" x14ac:dyDescent="0.3">
      <c r="A31" t="s">
        <v>145</v>
      </c>
      <c r="B31" t="s">
        <v>263</v>
      </c>
      <c r="C31">
        <v>14</v>
      </c>
      <c r="D31" s="1">
        <v>0</v>
      </c>
      <c r="M31" s="26" t="s">
        <v>466</v>
      </c>
      <c r="N31" s="26" t="s">
        <v>467</v>
      </c>
      <c r="O31" s="26" t="s">
        <v>546</v>
      </c>
      <c r="P31" s="26"/>
      <c r="Q31" s="26" t="s">
        <v>63</v>
      </c>
    </row>
    <row r="32" spans="1:20" x14ac:dyDescent="0.3">
      <c r="A32" t="s">
        <v>40</v>
      </c>
      <c r="B32" t="s">
        <v>33</v>
      </c>
      <c r="C32" t="s">
        <v>45</v>
      </c>
      <c r="D32" s="1">
        <v>0</v>
      </c>
      <c r="E32" t="s">
        <v>63</v>
      </c>
      <c r="G32" t="s">
        <v>88</v>
      </c>
      <c r="H32" t="s">
        <v>91</v>
      </c>
      <c r="I32">
        <v>30</v>
      </c>
      <c r="J32" s="1">
        <v>0</v>
      </c>
      <c r="K32" t="s">
        <v>63</v>
      </c>
      <c r="M32" t="s">
        <v>54</v>
      </c>
      <c r="N32" t="s">
        <v>51</v>
      </c>
      <c r="O32" t="s">
        <v>45</v>
      </c>
      <c r="P32" s="1">
        <v>0</v>
      </c>
      <c r="Q32" t="s">
        <v>70</v>
      </c>
      <c r="S32" t="s">
        <v>521</v>
      </c>
      <c r="T32" t="s">
        <v>522</v>
      </c>
    </row>
    <row r="33" spans="1:14" x14ac:dyDescent="0.3">
      <c r="A33" t="s">
        <v>78</v>
      </c>
      <c r="B33" t="s">
        <v>79</v>
      </c>
      <c r="C33" t="s">
        <v>27</v>
      </c>
      <c r="D33" s="1">
        <v>0</v>
      </c>
      <c r="E33" t="s">
        <v>64</v>
      </c>
      <c r="G33" t="s">
        <v>464</v>
      </c>
      <c r="H33" t="s">
        <v>465</v>
      </c>
      <c r="J33" s="1"/>
      <c r="M33" t="s">
        <v>158</v>
      </c>
      <c r="N33" t="s">
        <v>159</v>
      </c>
    </row>
    <row r="34" spans="1:14" x14ac:dyDescent="0.3">
      <c r="B34" t="s">
        <v>178</v>
      </c>
      <c r="D34" s="1">
        <v>0</v>
      </c>
      <c r="M34" t="s">
        <v>742</v>
      </c>
      <c r="N34" t="s">
        <v>743</v>
      </c>
    </row>
    <row r="35" spans="1:14" x14ac:dyDescent="0.3">
      <c r="A35" t="s">
        <v>611</v>
      </c>
      <c r="B35" t="s">
        <v>612</v>
      </c>
      <c r="C35" t="s">
        <v>27</v>
      </c>
    </row>
    <row r="36" spans="1:14" x14ac:dyDescent="0.3">
      <c r="A36" t="s">
        <v>238</v>
      </c>
      <c r="B36" t="s">
        <v>748</v>
      </c>
    </row>
  </sheetData>
  <autoFilter ref="A2:Z2" xr:uid="{E55613A7-3C77-4D58-A64D-701B16D96150}">
    <sortState xmlns:xlrd2="http://schemas.microsoft.com/office/spreadsheetml/2017/richdata2" ref="A3:Z34">
      <sortCondition ref="A2"/>
    </sortState>
  </autoFilter>
  <mergeCells count="4">
    <mergeCell ref="A1:E1"/>
    <mergeCell ref="G1:K1"/>
    <mergeCell ref="M1:Q1"/>
    <mergeCell ref="S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89B1-19DC-4844-ADAA-9D2928D4CE6F}">
  <dimension ref="A1:B16"/>
  <sheetViews>
    <sheetView workbookViewId="0">
      <selection activeCell="G24" sqref="G24"/>
    </sheetView>
  </sheetViews>
  <sheetFormatPr defaultRowHeight="14.4" x14ac:dyDescent="0.3"/>
  <cols>
    <col min="1" max="1" width="19" customWidth="1"/>
  </cols>
  <sheetData>
    <row r="1" spans="1:2" x14ac:dyDescent="0.3">
      <c r="A1" s="6" t="s">
        <v>395</v>
      </c>
    </row>
    <row r="2" spans="1:2" x14ac:dyDescent="0.3">
      <c r="A2" t="s">
        <v>396</v>
      </c>
      <c r="B2" t="s">
        <v>397</v>
      </c>
    </row>
    <row r="3" spans="1:2" x14ac:dyDescent="0.3">
      <c r="A3" t="s">
        <v>398</v>
      </c>
    </row>
    <row r="4" spans="1:2" x14ac:dyDescent="0.3">
      <c r="A4" t="s">
        <v>399</v>
      </c>
    </row>
    <row r="5" spans="1:2" x14ac:dyDescent="0.3">
      <c r="A5" t="s">
        <v>400</v>
      </c>
      <c r="B5" t="s">
        <v>401</v>
      </c>
    </row>
    <row r="6" spans="1:2" x14ac:dyDescent="0.3">
      <c r="A6" t="s">
        <v>402</v>
      </c>
    </row>
    <row r="7" spans="1:2" ht="46.2" customHeight="1" x14ac:dyDescent="0.3">
      <c r="A7" t="s">
        <v>403</v>
      </c>
      <c r="B7" s="76" t="s">
        <v>404</v>
      </c>
    </row>
    <row r="8" spans="1:2" ht="19.2" x14ac:dyDescent="0.3">
      <c r="B8" s="77" t="s">
        <v>405</v>
      </c>
    </row>
    <row r="9" spans="1:2" ht="19.2" x14ac:dyDescent="0.3">
      <c r="B9" s="77" t="s">
        <v>406</v>
      </c>
    </row>
    <row r="10" spans="1:2" x14ac:dyDescent="0.3">
      <c r="B10" s="77" t="s">
        <v>407</v>
      </c>
    </row>
    <row r="11" spans="1:2" x14ac:dyDescent="0.3">
      <c r="B11" s="77" t="s">
        <v>408</v>
      </c>
    </row>
    <row r="12" spans="1:2" x14ac:dyDescent="0.3">
      <c r="B12" s="77" t="s">
        <v>120</v>
      </c>
    </row>
    <row r="13" spans="1:2" x14ac:dyDescent="0.3">
      <c r="B13" s="77" t="s">
        <v>409</v>
      </c>
    </row>
    <row r="14" spans="1:2" x14ac:dyDescent="0.3">
      <c r="B14" s="77" t="s">
        <v>410</v>
      </c>
    </row>
    <row r="15" spans="1:2" x14ac:dyDescent="0.3">
      <c r="B15" s="77" t="s">
        <v>411</v>
      </c>
    </row>
    <row r="16" spans="1:2" ht="19.2" x14ac:dyDescent="0.3">
      <c r="B16" s="77" t="s">
        <v>412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494-A5E2-4FBA-BF35-D67966DBFF95}">
  <dimension ref="A1:H37"/>
  <sheetViews>
    <sheetView workbookViewId="0">
      <selection activeCell="B21" sqref="B21"/>
    </sheetView>
  </sheetViews>
  <sheetFormatPr defaultColWidth="8.88671875" defaultRowHeight="14.4" x14ac:dyDescent="0.3"/>
  <cols>
    <col min="2" max="2" width="45" customWidth="1"/>
    <col min="4" max="5" width="19" customWidth="1"/>
    <col min="6" max="6" width="17.44140625" customWidth="1"/>
    <col min="7" max="7" width="11.33203125" customWidth="1"/>
    <col min="8" max="8" width="21" customWidth="1"/>
  </cols>
  <sheetData>
    <row r="1" spans="1:8" x14ac:dyDescent="0.3">
      <c r="A1" s="15" t="s">
        <v>28</v>
      </c>
      <c r="B1" s="15" t="s">
        <v>71</v>
      </c>
      <c r="C1" s="15" t="s">
        <v>29</v>
      </c>
      <c r="D1" s="15" t="s">
        <v>72</v>
      </c>
      <c r="E1" s="15" t="s">
        <v>116</v>
      </c>
      <c r="F1" s="15" t="s">
        <v>74</v>
      </c>
      <c r="G1" s="15" t="s">
        <v>118</v>
      </c>
      <c r="H1" s="15" t="s">
        <v>227</v>
      </c>
    </row>
    <row r="2" spans="1:8" x14ac:dyDescent="0.3">
      <c r="A2" s="65" t="s">
        <v>43</v>
      </c>
      <c r="B2" s="65" t="s">
        <v>75</v>
      </c>
      <c r="C2" s="65" t="s">
        <v>31</v>
      </c>
      <c r="D2" s="65" t="s">
        <v>73</v>
      </c>
      <c r="E2" s="65" t="s">
        <v>115</v>
      </c>
      <c r="F2" s="65" t="s">
        <v>32</v>
      </c>
      <c r="G2" s="65" t="s">
        <v>119</v>
      </c>
    </row>
    <row r="3" spans="1:8" x14ac:dyDescent="0.3">
      <c r="A3" s="23" t="s">
        <v>369</v>
      </c>
      <c r="B3" s="65" t="s">
        <v>75</v>
      </c>
      <c r="C3" s="23" t="s">
        <v>370</v>
      </c>
      <c r="D3" s="23" t="s">
        <v>73</v>
      </c>
      <c r="E3" s="23" t="s">
        <v>115</v>
      </c>
      <c r="F3" s="23" t="s">
        <v>32</v>
      </c>
      <c r="G3" s="23" t="s">
        <v>119</v>
      </c>
      <c r="H3" s="2"/>
    </row>
    <row r="4" spans="1:8" x14ac:dyDescent="0.3">
      <c r="A4" s="65" t="s">
        <v>555</v>
      </c>
      <c r="B4" s="65" t="s">
        <v>558</v>
      </c>
      <c r="C4" s="65" t="s">
        <v>32</v>
      </c>
      <c r="D4" s="65" t="s">
        <v>107</v>
      </c>
      <c r="E4" s="65" t="s">
        <v>115</v>
      </c>
      <c r="F4" s="65" t="s">
        <v>601</v>
      </c>
      <c r="G4" s="65" t="s">
        <v>119</v>
      </c>
    </row>
    <row r="5" spans="1:8" x14ac:dyDescent="0.3">
      <c r="A5" s="65" t="s">
        <v>556</v>
      </c>
      <c r="B5" s="65" t="s">
        <v>559</v>
      </c>
      <c r="C5" s="65" t="s">
        <v>32</v>
      </c>
      <c r="D5" s="65" t="s">
        <v>107</v>
      </c>
      <c r="E5" s="65" t="s">
        <v>115</v>
      </c>
      <c r="F5" s="65" t="s">
        <v>601</v>
      </c>
      <c r="G5" s="65" t="s">
        <v>119</v>
      </c>
    </row>
    <row r="6" spans="1:8" x14ac:dyDescent="0.3">
      <c r="A6" s="65" t="s">
        <v>554</v>
      </c>
      <c r="B6" s="65" t="s">
        <v>557</v>
      </c>
      <c r="C6" s="65" t="s">
        <v>32</v>
      </c>
      <c r="D6" s="65" t="s">
        <v>107</v>
      </c>
      <c r="E6" s="65" t="s">
        <v>115</v>
      </c>
      <c r="F6" s="65" t="s">
        <v>32</v>
      </c>
      <c r="G6" s="65" t="s">
        <v>119</v>
      </c>
    </row>
    <row r="7" spans="1:8" x14ac:dyDescent="0.3">
      <c r="A7" s="66" t="s">
        <v>121</v>
      </c>
      <c r="B7" s="66" t="s">
        <v>123</v>
      </c>
      <c r="C7" s="66" t="s">
        <v>31</v>
      </c>
      <c r="D7" s="66" t="s">
        <v>73</v>
      </c>
      <c r="E7" s="66" t="s">
        <v>117</v>
      </c>
      <c r="F7" s="66" t="s">
        <v>31</v>
      </c>
      <c r="G7" s="66" t="s">
        <v>119</v>
      </c>
    </row>
    <row r="8" spans="1:8" x14ac:dyDescent="0.3">
      <c r="A8" s="23" t="s">
        <v>122</v>
      </c>
      <c r="B8" s="23" t="s">
        <v>124</v>
      </c>
      <c r="C8" s="23" t="s">
        <v>31</v>
      </c>
      <c r="D8" s="23" t="s">
        <v>73</v>
      </c>
      <c r="E8" s="23" t="s">
        <v>117</v>
      </c>
      <c r="F8" s="23" t="s">
        <v>31</v>
      </c>
      <c r="G8" s="23" t="s">
        <v>119</v>
      </c>
    </row>
    <row r="9" spans="1:8" x14ac:dyDescent="0.3">
      <c r="A9" s="23" t="s">
        <v>456</v>
      </c>
      <c r="B9" s="23" t="s">
        <v>124</v>
      </c>
      <c r="C9" s="23" t="s">
        <v>370</v>
      </c>
      <c r="D9" s="23" t="s">
        <v>73</v>
      </c>
      <c r="E9" s="23" t="s">
        <v>117</v>
      </c>
      <c r="F9" s="23" t="s">
        <v>370</v>
      </c>
      <c r="G9" s="23" t="s">
        <v>119</v>
      </c>
    </row>
    <row r="10" spans="1:8" x14ac:dyDescent="0.3">
      <c r="A10" s="23" t="s">
        <v>609</v>
      </c>
      <c r="B10" s="23" t="s">
        <v>610</v>
      </c>
      <c r="C10" s="23" t="s">
        <v>31</v>
      </c>
      <c r="D10" s="23" t="s">
        <v>73</v>
      </c>
      <c r="E10" s="23" t="s">
        <v>117</v>
      </c>
      <c r="F10" s="23" t="s">
        <v>31</v>
      </c>
      <c r="G10" s="23" t="s">
        <v>119</v>
      </c>
    </row>
    <row r="11" spans="1:8" x14ac:dyDescent="0.3">
      <c r="A11" s="23" t="s">
        <v>106</v>
      </c>
      <c r="B11" s="23" t="s">
        <v>111</v>
      </c>
      <c r="C11" s="23" t="s">
        <v>32</v>
      </c>
      <c r="D11" s="23" t="s">
        <v>107</v>
      </c>
      <c r="E11" s="23" t="s">
        <v>117</v>
      </c>
      <c r="F11" s="23" t="s">
        <v>32</v>
      </c>
      <c r="G11" s="23" t="s">
        <v>119</v>
      </c>
    </row>
    <row r="12" spans="1:8" x14ac:dyDescent="0.3">
      <c r="A12" s="23" t="s">
        <v>249</v>
      </c>
      <c r="B12" s="23" t="s">
        <v>250</v>
      </c>
      <c r="C12" s="23" t="s">
        <v>32</v>
      </c>
      <c r="D12" s="23" t="s">
        <v>210</v>
      </c>
      <c r="E12" s="23" t="s">
        <v>211</v>
      </c>
      <c r="F12" s="23" t="s">
        <v>32</v>
      </c>
      <c r="G12" s="23" t="s">
        <v>119</v>
      </c>
    </row>
    <row r="13" spans="1:8" x14ac:dyDescent="0.3">
      <c r="A13" s="23" t="s">
        <v>208</v>
      </c>
      <c r="B13" s="23" t="s">
        <v>209</v>
      </c>
      <c r="C13" s="23" t="s">
        <v>32</v>
      </c>
      <c r="D13" s="23" t="s">
        <v>210</v>
      </c>
      <c r="E13" s="23" t="s">
        <v>211</v>
      </c>
      <c r="F13" s="23" t="s">
        <v>32</v>
      </c>
      <c r="G13" s="23" t="s">
        <v>119</v>
      </c>
    </row>
    <row r="14" spans="1:8" x14ac:dyDescent="0.3">
      <c r="A14" s="23" t="s">
        <v>377</v>
      </c>
      <c r="B14" s="23" t="s">
        <v>250</v>
      </c>
      <c r="C14" s="23" t="s">
        <v>114</v>
      </c>
      <c r="D14" s="23" t="s">
        <v>107</v>
      </c>
      <c r="E14" s="23" t="s">
        <v>117</v>
      </c>
      <c r="F14" s="23" t="s">
        <v>114</v>
      </c>
      <c r="G14" s="23" t="s">
        <v>119</v>
      </c>
    </row>
    <row r="15" spans="1:8" x14ac:dyDescent="0.3">
      <c r="A15" s="23" t="s">
        <v>502</v>
      </c>
      <c r="B15" s="23" t="s">
        <v>494</v>
      </c>
      <c r="C15" s="23" t="s">
        <v>32</v>
      </c>
      <c r="D15" s="23" t="s">
        <v>107</v>
      </c>
      <c r="E15" s="23" t="s">
        <v>211</v>
      </c>
      <c r="F15" s="23" t="s">
        <v>497</v>
      </c>
      <c r="G15" s="23" t="s">
        <v>119</v>
      </c>
    </row>
    <row r="16" spans="1:8" x14ac:dyDescent="0.3">
      <c r="A16" s="23" t="s">
        <v>240</v>
      </c>
      <c r="B16" s="23" t="s">
        <v>242</v>
      </c>
      <c r="C16" s="23" t="s">
        <v>32</v>
      </c>
      <c r="D16" s="23" t="s">
        <v>107</v>
      </c>
      <c r="E16" s="23" t="s">
        <v>117</v>
      </c>
      <c r="F16" s="23" t="s">
        <v>32</v>
      </c>
      <c r="G16" s="23" t="s">
        <v>119</v>
      </c>
    </row>
    <row r="17" spans="1:7" ht="15" customHeight="1" x14ac:dyDescent="0.3">
      <c r="A17" s="23" t="s">
        <v>108</v>
      </c>
      <c r="B17" s="23" t="s">
        <v>136</v>
      </c>
      <c r="C17" s="23" t="s">
        <v>114</v>
      </c>
      <c r="D17" s="23" t="s">
        <v>107</v>
      </c>
      <c r="E17" s="23" t="s">
        <v>117</v>
      </c>
      <c r="F17" s="23" t="s">
        <v>114</v>
      </c>
      <c r="G17" s="23" t="s">
        <v>119</v>
      </c>
    </row>
    <row r="18" spans="1:7" x14ac:dyDescent="0.3">
      <c r="A18" s="23" t="s">
        <v>172</v>
      </c>
      <c r="B18" s="23" t="s">
        <v>173</v>
      </c>
      <c r="C18" s="23" t="s">
        <v>114</v>
      </c>
      <c r="D18" s="23" t="s">
        <v>107</v>
      </c>
      <c r="E18" s="23" t="s">
        <v>117</v>
      </c>
      <c r="F18" s="23" t="s">
        <v>114</v>
      </c>
      <c r="G18" s="23" t="s">
        <v>119</v>
      </c>
    </row>
    <row r="19" spans="1:7" x14ac:dyDescent="0.3">
      <c r="A19" s="23" t="s">
        <v>528</v>
      </c>
      <c r="B19" s="23" t="s">
        <v>527</v>
      </c>
      <c r="C19" s="23" t="s">
        <v>32</v>
      </c>
      <c r="D19" s="23" t="s">
        <v>107</v>
      </c>
      <c r="E19" s="23" t="s">
        <v>117</v>
      </c>
      <c r="F19" s="23" t="s">
        <v>32</v>
      </c>
      <c r="G19" s="23" t="s">
        <v>119</v>
      </c>
    </row>
    <row r="20" spans="1:7" x14ac:dyDescent="0.3">
      <c r="A20" s="23" t="s">
        <v>549</v>
      </c>
      <c r="B20" s="23" t="s">
        <v>550</v>
      </c>
      <c r="C20" s="23" t="s">
        <v>32</v>
      </c>
      <c r="D20" s="23" t="s">
        <v>107</v>
      </c>
      <c r="E20" s="23" t="s">
        <v>117</v>
      </c>
      <c r="F20" s="23" t="s">
        <v>32</v>
      </c>
      <c r="G20" s="23" t="s">
        <v>119</v>
      </c>
    </row>
    <row r="21" spans="1:7" x14ac:dyDescent="0.3">
      <c r="A21" s="23" t="s">
        <v>579</v>
      </c>
      <c r="B21" s="23" t="s">
        <v>580</v>
      </c>
      <c r="C21" s="23" t="s">
        <v>32</v>
      </c>
      <c r="D21" s="23" t="s">
        <v>107</v>
      </c>
      <c r="E21" s="23" t="s">
        <v>117</v>
      </c>
      <c r="F21" s="23" t="s">
        <v>32</v>
      </c>
      <c r="G21" s="23" t="s">
        <v>119</v>
      </c>
    </row>
    <row r="22" spans="1:7" x14ac:dyDescent="0.3">
      <c r="A22" s="23" t="s">
        <v>504</v>
      </c>
      <c r="B22" s="27" t="s">
        <v>496</v>
      </c>
      <c r="C22" s="23" t="s">
        <v>32</v>
      </c>
      <c r="D22" s="23" t="s">
        <v>107</v>
      </c>
      <c r="E22" s="23" t="s">
        <v>117</v>
      </c>
      <c r="F22" s="23" t="s">
        <v>32</v>
      </c>
      <c r="G22" s="23" t="s">
        <v>119</v>
      </c>
    </row>
    <row r="23" spans="1:7" x14ac:dyDescent="0.3">
      <c r="A23" s="23" t="s">
        <v>109</v>
      </c>
      <c r="B23" s="23" t="s">
        <v>112</v>
      </c>
      <c r="C23" s="23" t="s">
        <v>32</v>
      </c>
      <c r="D23" s="23" t="s">
        <v>107</v>
      </c>
      <c r="E23" s="23" t="s">
        <v>117</v>
      </c>
      <c r="F23" s="23" t="s">
        <v>32</v>
      </c>
      <c r="G23" s="23" t="s">
        <v>120</v>
      </c>
    </row>
    <row r="24" spans="1:7" x14ac:dyDescent="0.3">
      <c r="A24" s="23" t="s">
        <v>110</v>
      </c>
      <c r="B24" s="23" t="s">
        <v>113</v>
      </c>
      <c r="C24" s="23" t="s">
        <v>32</v>
      </c>
      <c r="D24" s="23" t="s">
        <v>107</v>
      </c>
      <c r="E24" s="23" t="s">
        <v>117</v>
      </c>
      <c r="F24" s="23" t="s">
        <v>32</v>
      </c>
      <c r="G24" s="23" t="s">
        <v>120</v>
      </c>
    </row>
    <row r="25" spans="1:7" x14ac:dyDescent="0.3">
      <c r="A25" s="23" t="s">
        <v>251</v>
      </c>
      <c r="B25" s="23" t="s">
        <v>252</v>
      </c>
      <c r="C25" s="23" t="s">
        <v>32</v>
      </c>
      <c r="D25" s="23" t="s">
        <v>107</v>
      </c>
      <c r="E25" s="23" t="s">
        <v>117</v>
      </c>
      <c r="F25" s="23" t="s">
        <v>32</v>
      </c>
      <c r="G25" s="23" t="s">
        <v>120</v>
      </c>
    </row>
    <row r="26" spans="1:7" x14ac:dyDescent="0.3">
      <c r="A26" s="23" t="s">
        <v>393</v>
      </c>
      <c r="B26" s="23" t="s">
        <v>112</v>
      </c>
      <c r="C26" s="23" t="s">
        <v>114</v>
      </c>
      <c r="D26" s="23" t="s">
        <v>107</v>
      </c>
      <c r="E26" s="23" t="s">
        <v>117</v>
      </c>
      <c r="F26" s="23" t="s">
        <v>114</v>
      </c>
      <c r="G26" s="23" t="s">
        <v>120</v>
      </c>
    </row>
    <row r="27" spans="1:7" x14ac:dyDescent="0.3">
      <c r="A27" s="23" t="s">
        <v>439</v>
      </c>
      <c r="B27" s="23" t="s">
        <v>113</v>
      </c>
      <c r="C27" s="23" t="s">
        <v>114</v>
      </c>
      <c r="D27" s="23" t="s">
        <v>107</v>
      </c>
      <c r="E27" s="23" t="s">
        <v>117</v>
      </c>
      <c r="F27" s="23" t="s">
        <v>114</v>
      </c>
      <c r="G27" s="23" t="s">
        <v>120</v>
      </c>
    </row>
    <row r="28" spans="1:7" x14ac:dyDescent="0.3">
      <c r="A28" s="23" t="s">
        <v>180</v>
      </c>
      <c r="B28" s="23" t="s">
        <v>173</v>
      </c>
      <c r="C28" s="23" t="s">
        <v>32</v>
      </c>
      <c r="D28" s="23" t="s">
        <v>568</v>
      </c>
      <c r="E28" s="23" t="s">
        <v>569</v>
      </c>
      <c r="F28" s="23" t="s">
        <v>32</v>
      </c>
      <c r="G28" s="23" t="s">
        <v>570</v>
      </c>
    </row>
    <row r="29" spans="1:7" x14ac:dyDescent="0.3">
      <c r="A29" s="23" t="s">
        <v>597</v>
      </c>
      <c r="B29" s="23" t="s">
        <v>598</v>
      </c>
      <c r="C29" s="23" t="s">
        <v>32</v>
      </c>
      <c r="D29" s="23" t="s">
        <v>568</v>
      </c>
      <c r="E29" s="23" t="s">
        <v>115</v>
      </c>
      <c r="F29" s="23" t="s">
        <v>32</v>
      </c>
      <c r="G29" s="23" t="s">
        <v>664</v>
      </c>
    </row>
    <row r="30" spans="1:7" x14ac:dyDescent="0.3">
      <c r="A30" s="2" t="s">
        <v>662</v>
      </c>
      <c r="B30" s="2" t="s">
        <v>663</v>
      </c>
      <c r="C30" s="2" t="s">
        <v>32</v>
      </c>
      <c r="D30" s="2" t="s">
        <v>568</v>
      </c>
      <c r="E30" s="2" t="s">
        <v>115</v>
      </c>
      <c r="F30" s="2" t="s">
        <v>32</v>
      </c>
      <c r="G30" s="2" t="s">
        <v>664</v>
      </c>
    </row>
    <row r="31" spans="1:7" x14ac:dyDescent="0.3">
      <c r="A31" s="23" t="s">
        <v>646</v>
      </c>
      <c r="B31" s="23" t="s">
        <v>687</v>
      </c>
      <c r="C31" s="23" t="s">
        <v>32</v>
      </c>
      <c r="D31" s="23" t="s">
        <v>568</v>
      </c>
      <c r="E31" s="23" t="s">
        <v>115</v>
      </c>
      <c r="F31" s="23" t="s">
        <v>32</v>
      </c>
      <c r="G31" s="23" t="s">
        <v>570</v>
      </c>
    </row>
    <row r="32" spans="1:7" x14ac:dyDescent="0.3">
      <c r="A32" s="2" t="s">
        <v>665</v>
      </c>
      <c r="B32" s="2" t="s">
        <v>666</v>
      </c>
      <c r="C32" s="2" t="s">
        <v>32</v>
      </c>
      <c r="D32" s="2" t="s">
        <v>568</v>
      </c>
      <c r="E32" s="2" t="s">
        <v>115</v>
      </c>
      <c r="F32" s="2" t="s">
        <v>32</v>
      </c>
      <c r="G32" s="2" t="s">
        <v>409</v>
      </c>
    </row>
    <row r="33" spans="1:7" x14ac:dyDescent="0.3">
      <c r="A33" s="2" t="s">
        <v>745</v>
      </c>
      <c r="B33" s="2" t="s">
        <v>747</v>
      </c>
      <c r="C33" s="2" t="s">
        <v>32</v>
      </c>
      <c r="D33" s="2" t="s">
        <v>568</v>
      </c>
      <c r="E33" s="2" t="s">
        <v>117</v>
      </c>
      <c r="F33" s="2" t="s">
        <v>32</v>
      </c>
      <c r="G33" s="2" t="s">
        <v>119</v>
      </c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</sheetData>
  <autoFilter ref="A1:F1" xr:uid="{3E71B494-A5E2-4FBA-BF35-D67966DBFF95}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BEE5-A91F-4016-BA6D-6D66CCD052EF}">
  <dimension ref="A5:K31"/>
  <sheetViews>
    <sheetView topLeftCell="A4" workbookViewId="0">
      <selection activeCell="B12" sqref="B12:E12"/>
    </sheetView>
  </sheetViews>
  <sheetFormatPr defaultRowHeight="14.4" x14ac:dyDescent="0.3"/>
  <cols>
    <col min="1" max="1" width="23" customWidth="1"/>
    <col min="4" max="4" width="8" customWidth="1"/>
    <col min="5" max="5" width="0.88671875" customWidth="1"/>
    <col min="8" max="8" width="8.88671875" customWidth="1"/>
    <col min="9" max="9" width="17.6640625" customWidth="1"/>
    <col min="10" max="10" width="13.33203125" customWidth="1"/>
    <col min="11" max="11" width="7.44140625" customWidth="1"/>
  </cols>
  <sheetData>
    <row r="5" spans="1:11" ht="15" thickBot="1" x14ac:dyDescent="0.35"/>
    <row r="6" spans="1:11" x14ac:dyDescent="0.3">
      <c r="A6" s="212" t="s">
        <v>615</v>
      </c>
      <c r="B6" s="213"/>
      <c r="C6" s="213"/>
      <c r="D6" s="214"/>
      <c r="I6" s="173" t="s">
        <v>622</v>
      </c>
      <c r="J6" s="229" t="s">
        <v>76</v>
      </c>
      <c r="K6" s="230"/>
    </row>
    <row r="7" spans="1:11" x14ac:dyDescent="0.3">
      <c r="A7" s="215" t="s">
        <v>616</v>
      </c>
      <c r="B7" s="216"/>
      <c r="C7" s="216"/>
      <c r="D7" s="217"/>
      <c r="I7" s="174" t="s">
        <v>620</v>
      </c>
      <c r="J7" s="231" t="s">
        <v>655</v>
      </c>
      <c r="K7" s="232"/>
    </row>
    <row r="8" spans="1:11" x14ac:dyDescent="0.3">
      <c r="A8" s="215" t="s">
        <v>617</v>
      </c>
      <c r="B8" s="216"/>
      <c r="C8" s="216"/>
      <c r="D8" s="217"/>
      <c r="F8" s="237" t="s">
        <v>623</v>
      </c>
      <c r="G8" s="237"/>
      <c r="H8" s="237"/>
      <c r="I8" s="174" t="s">
        <v>619</v>
      </c>
      <c r="J8" s="233">
        <v>46259</v>
      </c>
      <c r="K8" s="234"/>
    </row>
    <row r="9" spans="1:11" ht="15" thickBot="1" x14ac:dyDescent="0.35">
      <c r="A9" s="218" t="s">
        <v>618</v>
      </c>
      <c r="B9" s="219"/>
      <c r="C9" s="219"/>
      <c r="D9" s="220"/>
      <c r="F9" s="237"/>
      <c r="G9" s="237"/>
      <c r="H9" s="237"/>
      <c r="I9" s="175" t="s">
        <v>621</v>
      </c>
      <c r="J9" s="235">
        <v>46260</v>
      </c>
      <c r="K9" s="236"/>
    </row>
    <row r="11" spans="1:11" ht="33" customHeight="1" x14ac:dyDescent="0.3">
      <c r="A11" s="170" t="s">
        <v>629</v>
      </c>
      <c r="B11" s="238" t="s">
        <v>71</v>
      </c>
      <c r="C11" s="238"/>
      <c r="D11" s="238"/>
      <c r="E11" s="238"/>
      <c r="F11" s="171" t="s">
        <v>624</v>
      </c>
      <c r="G11" s="171" t="s">
        <v>625</v>
      </c>
      <c r="H11" s="171" t="s">
        <v>7</v>
      </c>
      <c r="I11" s="171" t="s">
        <v>626</v>
      </c>
      <c r="J11" s="171" t="s">
        <v>627</v>
      </c>
      <c r="K11" s="172" t="s">
        <v>628</v>
      </c>
    </row>
    <row r="12" spans="1:11" ht="25.2" customHeight="1" x14ac:dyDescent="0.3">
      <c r="A12" s="169" t="s">
        <v>714</v>
      </c>
      <c r="B12" s="224" t="s">
        <v>715</v>
      </c>
      <c r="C12" s="224"/>
      <c r="D12" s="224"/>
      <c r="E12" s="224"/>
      <c r="F12" s="177">
        <v>186.6</v>
      </c>
      <c r="G12" s="177">
        <v>12.85</v>
      </c>
      <c r="H12" s="178">
        <f>F12*G12</f>
        <v>2397.81</v>
      </c>
      <c r="I12" s="177">
        <v>28</v>
      </c>
      <c r="J12" s="179">
        <f>I12*G12</f>
        <v>359.8</v>
      </c>
      <c r="K12" s="180">
        <f t="shared" ref="K12:K18" si="0">J12/H12</f>
        <v>0.15005359056806003</v>
      </c>
    </row>
    <row r="13" spans="1:11" ht="25.2" customHeight="1" x14ac:dyDescent="0.3">
      <c r="A13" s="169"/>
      <c r="B13" s="224"/>
      <c r="C13" s="224"/>
      <c r="D13" s="224"/>
      <c r="E13" s="224"/>
      <c r="F13" s="177"/>
      <c r="G13" s="177"/>
      <c r="H13" s="178"/>
      <c r="I13" s="177"/>
      <c r="J13" s="179"/>
      <c r="K13" s="180"/>
    </row>
    <row r="14" spans="1:11" ht="25.2" customHeight="1" x14ac:dyDescent="0.3">
      <c r="A14" s="169"/>
      <c r="B14" s="224"/>
      <c r="C14" s="224"/>
      <c r="D14" s="224"/>
      <c r="E14" s="224"/>
      <c r="F14" s="177"/>
      <c r="G14" s="177"/>
      <c r="H14" s="178"/>
      <c r="I14" s="177"/>
      <c r="J14" s="179"/>
      <c r="K14" s="180"/>
    </row>
    <row r="15" spans="1:11" ht="25.2" customHeight="1" x14ac:dyDescent="0.3">
      <c r="A15" s="169"/>
      <c r="B15" s="224"/>
      <c r="C15" s="224"/>
      <c r="D15" s="224"/>
      <c r="E15" s="224"/>
      <c r="F15" s="177"/>
      <c r="G15" s="177"/>
      <c r="H15" s="178"/>
      <c r="I15" s="177"/>
      <c r="J15" s="179"/>
      <c r="K15" s="180"/>
    </row>
    <row r="16" spans="1:11" ht="25.2" customHeight="1" x14ac:dyDescent="0.3">
      <c r="A16" s="169"/>
      <c r="B16" s="224"/>
      <c r="C16" s="224"/>
      <c r="D16" s="224"/>
      <c r="E16" s="224"/>
      <c r="F16" s="177"/>
      <c r="G16" s="177"/>
      <c r="H16" s="178"/>
      <c r="I16" s="177"/>
      <c r="J16" s="179"/>
      <c r="K16" s="180"/>
    </row>
    <row r="17" spans="1:11" ht="25.2" customHeight="1" x14ac:dyDescent="0.3">
      <c r="A17" s="169"/>
      <c r="B17" s="224"/>
      <c r="C17" s="224"/>
      <c r="D17" s="224"/>
      <c r="E17" s="224"/>
      <c r="F17" s="177"/>
      <c r="G17" s="177"/>
      <c r="H17" s="178"/>
      <c r="I17" s="177"/>
      <c r="J17" s="179"/>
      <c r="K17" s="180"/>
    </row>
    <row r="18" spans="1:11" ht="23.4" customHeight="1" x14ac:dyDescent="0.3">
      <c r="B18" s="221"/>
      <c r="C18" s="221"/>
      <c r="D18" s="221"/>
      <c r="E18" s="221"/>
      <c r="F18" s="30">
        <f>SUM(F12:F17)</f>
        <v>186.6</v>
      </c>
      <c r="G18" s="30">
        <v>0</v>
      </c>
      <c r="H18" s="1">
        <f>SUM(H12:H17)</f>
        <v>2397.81</v>
      </c>
      <c r="I18" s="30">
        <f>SUM(I12:I17)</f>
        <v>28</v>
      </c>
      <c r="J18" s="1">
        <f>SUM(J12:J17)</f>
        <v>359.8</v>
      </c>
      <c r="K18" s="31">
        <f t="shared" si="0"/>
        <v>0.15005359056806003</v>
      </c>
    </row>
    <row r="19" spans="1:11" x14ac:dyDescent="0.3">
      <c r="B19" s="221"/>
      <c r="C19" s="221"/>
      <c r="D19" s="221"/>
      <c r="E19" s="221"/>
    </row>
    <row r="20" spans="1:11" ht="22.95" customHeight="1" x14ac:dyDescent="0.3">
      <c r="A20" s="225" t="s">
        <v>630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8"/>
    </row>
    <row r="21" spans="1:11" ht="19.2" customHeight="1" x14ac:dyDescent="0.3">
      <c r="A21" s="176" t="s">
        <v>716</v>
      </c>
      <c r="B21" s="225" t="s">
        <v>717</v>
      </c>
      <c r="C21" s="226"/>
      <c r="D21" s="226"/>
      <c r="E21" s="226"/>
      <c r="F21" s="225" t="s">
        <v>718</v>
      </c>
      <c r="G21" s="226"/>
      <c r="H21" s="226"/>
      <c r="I21" s="176" t="s">
        <v>634</v>
      </c>
      <c r="J21" s="225" t="s">
        <v>635</v>
      </c>
      <c r="K21" s="228"/>
    </row>
    <row r="22" spans="1:11" ht="22.2" customHeight="1" x14ac:dyDescent="0.3">
      <c r="A22" s="225" t="s">
        <v>719</v>
      </c>
      <c r="B22" s="226"/>
      <c r="C22" s="225" t="s">
        <v>720</v>
      </c>
      <c r="D22" s="226"/>
      <c r="E22" s="226"/>
      <c r="F22" s="226"/>
      <c r="G22" s="226"/>
      <c r="H22" s="226"/>
      <c r="I22" s="226"/>
      <c r="J22" s="226"/>
      <c r="K22" s="228"/>
    </row>
    <row r="23" spans="1:11" ht="21" customHeight="1" x14ac:dyDescent="0.3">
      <c r="A23" s="222" t="s">
        <v>721</v>
      </c>
      <c r="B23" s="223"/>
      <c r="C23" s="223"/>
      <c r="D23" s="223"/>
      <c r="E23" s="223"/>
      <c r="F23" s="223"/>
      <c r="G23" s="222" t="s">
        <v>722</v>
      </c>
      <c r="H23" s="223"/>
      <c r="I23" s="223"/>
      <c r="J23" s="223"/>
      <c r="K23" s="227"/>
    </row>
    <row r="24" spans="1:11" x14ac:dyDescent="0.3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</row>
    <row r="25" spans="1:11" x14ac:dyDescent="0.3">
      <c r="B25" s="221"/>
      <c r="C25" s="221"/>
      <c r="D25" s="221"/>
      <c r="E25" s="221"/>
    </row>
    <row r="26" spans="1:11" x14ac:dyDescent="0.3">
      <c r="B26" s="221"/>
      <c r="C26" s="221"/>
      <c r="D26" s="221"/>
      <c r="E26" s="221"/>
    </row>
    <row r="27" spans="1:11" x14ac:dyDescent="0.3">
      <c r="B27" s="221"/>
      <c r="C27" s="221"/>
      <c r="D27" s="221"/>
      <c r="E27" s="221"/>
    </row>
    <row r="28" spans="1:11" x14ac:dyDescent="0.3">
      <c r="B28" s="221"/>
      <c r="C28" s="221"/>
      <c r="D28" s="221"/>
      <c r="E28" s="221"/>
    </row>
    <row r="29" spans="1:11" x14ac:dyDescent="0.3">
      <c r="B29" s="221"/>
      <c r="C29" s="221"/>
      <c r="D29" s="221"/>
      <c r="E29" s="221"/>
    </row>
    <row r="30" spans="1:11" x14ac:dyDescent="0.3">
      <c r="B30" s="221"/>
      <c r="C30" s="221"/>
      <c r="D30" s="221"/>
      <c r="E30" s="221"/>
    </row>
    <row r="31" spans="1:11" x14ac:dyDescent="0.3">
      <c r="B31" s="221"/>
      <c r="C31" s="221"/>
      <c r="D31" s="221"/>
      <c r="E31" s="221"/>
    </row>
  </sheetData>
  <mergeCells count="34">
    <mergeCell ref="J8:K8"/>
    <mergeCell ref="J9:K9"/>
    <mergeCell ref="A20:K20"/>
    <mergeCell ref="F21:H21"/>
    <mergeCell ref="J21:K21"/>
    <mergeCell ref="F8:H9"/>
    <mergeCell ref="B11:E11"/>
    <mergeCell ref="B12:E12"/>
    <mergeCell ref="B13:E13"/>
    <mergeCell ref="B14:E14"/>
    <mergeCell ref="B15:E15"/>
    <mergeCell ref="B28:E28"/>
    <mergeCell ref="B29:E29"/>
    <mergeCell ref="B30:E30"/>
    <mergeCell ref="B31:E31"/>
    <mergeCell ref="B25:E25"/>
    <mergeCell ref="B26:E26"/>
    <mergeCell ref="B27:E27"/>
    <mergeCell ref="A6:D6"/>
    <mergeCell ref="A7:D7"/>
    <mergeCell ref="A8:D8"/>
    <mergeCell ref="A9:D9"/>
    <mergeCell ref="A24:K24"/>
    <mergeCell ref="A23:F23"/>
    <mergeCell ref="B16:E16"/>
    <mergeCell ref="B17:E17"/>
    <mergeCell ref="B18:E18"/>
    <mergeCell ref="B19:E19"/>
    <mergeCell ref="B21:E21"/>
    <mergeCell ref="G23:K23"/>
    <mergeCell ref="A22:B22"/>
    <mergeCell ref="C22:K22"/>
    <mergeCell ref="J6:K6"/>
    <mergeCell ref="J7:K7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9907-61E3-4A0A-AE3D-472C28D6FC31}">
  <dimension ref="A5:K23"/>
  <sheetViews>
    <sheetView workbookViewId="0">
      <selection activeCell="J6" sqref="J6:K6"/>
    </sheetView>
  </sheetViews>
  <sheetFormatPr defaultRowHeight="14.4" x14ac:dyDescent="0.3"/>
  <cols>
    <col min="1" max="1" width="22.77734375" customWidth="1"/>
    <col min="5" max="5" width="6.109375" customWidth="1"/>
    <col min="6" max="6" width="7.44140625" customWidth="1"/>
    <col min="7" max="7" width="8.21875" customWidth="1"/>
    <col min="8" max="8" width="11.6640625" customWidth="1"/>
    <col min="9" max="9" width="18.109375" customWidth="1"/>
    <col min="10" max="10" width="10.5546875" customWidth="1"/>
    <col min="11" max="11" width="9.44140625" customWidth="1"/>
  </cols>
  <sheetData>
    <row r="5" spans="1:11" ht="15" thickBot="1" x14ac:dyDescent="0.35"/>
    <row r="6" spans="1:11" x14ac:dyDescent="0.3">
      <c r="A6" s="212" t="s">
        <v>615</v>
      </c>
      <c r="B6" s="213"/>
      <c r="C6" s="213"/>
      <c r="D6" s="214"/>
      <c r="I6" s="173" t="s">
        <v>659</v>
      </c>
      <c r="J6" s="242" t="s">
        <v>218</v>
      </c>
      <c r="K6" s="243"/>
    </row>
    <row r="7" spans="1:11" x14ac:dyDescent="0.3">
      <c r="A7" s="215" t="s">
        <v>616</v>
      </c>
      <c r="B7" s="216"/>
      <c r="C7" s="216"/>
      <c r="D7" s="217"/>
      <c r="I7" s="174" t="s">
        <v>660</v>
      </c>
      <c r="J7" s="231">
        <v>1101</v>
      </c>
      <c r="K7" s="232"/>
    </row>
    <row r="8" spans="1:11" x14ac:dyDescent="0.3">
      <c r="A8" s="215" t="s">
        <v>617</v>
      </c>
      <c r="B8" s="216"/>
      <c r="C8" s="216"/>
      <c r="D8" s="217"/>
      <c r="F8" s="237" t="s">
        <v>661</v>
      </c>
      <c r="G8" s="237"/>
      <c r="H8" s="237"/>
      <c r="I8" s="174" t="s">
        <v>619</v>
      </c>
      <c r="J8" s="233">
        <v>46259</v>
      </c>
      <c r="K8" s="234"/>
    </row>
    <row r="9" spans="1:11" ht="15" thickBot="1" x14ac:dyDescent="0.35">
      <c r="A9" s="218" t="s">
        <v>618</v>
      </c>
      <c r="B9" s="219"/>
      <c r="C9" s="219"/>
      <c r="D9" s="220"/>
      <c r="F9" s="237"/>
      <c r="G9" s="237"/>
      <c r="H9" s="237"/>
      <c r="I9" s="175" t="s">
        <v>621</v>
      </c>
      <c r="J9" s="235">
        <v>46260</v>
      </c>
      <c r="K9" s="236"/>
    </row>
    <row r="11" spans="1:11" x14ac:dyDescent="0.3">
      <c r="A11" s="170" t="s">
        <v>629</v>
      </c>
      <c r="B11" s="238" t="s">
        <v>71</v>
      </c>
      <c r="C11" s="238"/>
      <c r="D11" s="238"/>
      <c r="E11" s="238"/>
      <c r="F11" s="171" t="s">
        <v>624</v>
      </c>
      <c r="G11" s="171" t="s">
        <v>625</v>
      </c>
      <c r="H11" s="171" t="s">
        <v>7</v>
      </c>
      <c r="I11" s="171" t="s">
        <v>626</v>
      </c>
      <c r="J11" s="171" t="s">
        <v>627</v>
      </c>
      <c r="K11" s="172" t="s">
        <v>628</v>
      </c>
    </row>
    <row r="12" spans="1:11" x14ac:dyDescent="0.3">
      <c r="A12" s="169" t="s">
        <v>723</v>
      </c>
      <c r="B12" s="224" t="s">
        <v>715</v>
      </c>
      <c r="C12" s="224"/>
      <c r="D12" s="224"/>
      <c r="E12" s="224"/>
      <c r="F12" s="177">
        <v>186.8</v>
      </c>
      <c r="G12" s="177">
        <v>14</v>
      </c>
      <c r="H12" s="178">
        <f>F12*G12</f>
        <v>2615.2000000000003</v>
      </c>
      <c r="I12" s="177">
        <v>23.75</v>
      </c>
      <c r="J12" s="179">
        <f>I12*G12</f>
        <v>332.5</v>
      </c>
      <c r="K12" s="180">
        <f t="shared" ref="K12:K18" si="0">J12/H12</f>
        <v>0.12714132762312633</v>
      </c>
    </row>
    <row r="13" spans="1:11" x14ac:dyDescent="0.3">
      <c r="A13" s="169"/>
      <c r="B13" s="224"/>
      <c r="C13" s="224"/>
      <c r="D13" s="224"/>
      <c r="E13" s="224"/>
      <c r="F13" s="177"/>
      <c r="G13" s="177"/>
      <c r="H13" s="178"/>
      <c r="I13" s="177"/>
      <c r="J13" s="179"/>
      <c r="K13" s="180"/>
    </row>
    <row r="14" spans="1:11" x14ac:dyDescent="0.3">
      <c r="A14" s="169"/>
      <c r="B14" s="224"/>
      <c r="C14" s="224"/>
      <c r="D14" s="224"/>
      <c r="E14" s="224"/>
      <c r="F14" s="177"/>
      <c r="G14" s="177"/>
      <c r="H14" s="178"/>
      <c r="I14" s="177"/>
      <c r="J14" s="179"/>
      <c r="K14" s="180"/>
    </row>
    <row r="15" spans="1:11" x14ac:dyDescent="0.3">
      <c r="A15" s="169"/>
      <c r="B15" s="224"/>
      <c r="C15" s="224"/>
      <c r="D15" s="224"/>
      <c r="E15" s="224"/>
      <c r="F15" s="177"/>
      <c r="G15" s="177"/>
      <c r="H15" s="178"/>
      <c r="I15" s="177"/>
      <c r="J15" s="179"/>
      <c r="K15" s="180"/>
    </row>
    <row r="16" spans="1:11" x14ac:dyDescent="0.3">
      <c r="A16" s="169"/>
      <c r="B16" s="224"/>
      <c r="C16" s="224"/>
      <c r="D16" s="224"/>
      <c r="E16" s="224"/>
      <c r="F16" s="177"/>
      <c r="G16" s="177"/>
      <c r="H16" s="178"/>
      <c r="I16" s="177"/>
      <c r="J16" s="179"/>
      <c r="K16" s="180"/>
    </row>
    <row r="17" spans="1:11" x14ac:dyDescent="0.3">
      <c r="A17" s="169"/>
      <c r="B17" s="224"/>
      <c r="C17" s="224"/>
      <c r="D17" s="224"/>
      <c r="E17" s="224"/>
      <c r="F17" s="177"/>
      <c r="G17" s="177"/>
      <c r="H17" s="178"/>
      <c r="I17" s="177"/>
      <c r="J17" s="179"/>
      <c r="K17" s="180"/>
    </row>
    <row r="18" spans="1:11" x14ac:dyDescent="0.3">
      <c r="B18" s="221"/>
      <c r="C18" s="221"/>
      <c r="D18" s="221"/>
      <c r="E18" s="221"/>
      <c r="F18" s="30">
        <f>SUM(F12:F17)</f>
        <v>186.8</v>
      </c>
      <c r="G18" s="30">
        <v>0</v>
      </c>
      <c r="H18" s="1">
        <f>SUM(H12:H17)</f>
        <v>2615.2000000000003</v>
      </c>
      <c r="I18" s="30">
        <f>SUM(I12:I17)</f>
        <v>23.75</v>
      </c>
      <c r="J18" s="1">
        <f>SUM(J12:J17)</f>
        <v>332.5</v>
      </c>
      <c r="K18" s="31">
        <f t="shared" si="0"/>
        <v>0.12714132762312633</v>
      </c>
    </row>
    <row r="19" spans="1:11" x14ac:dyDescent="0.3">
      <c r="B19" s="221"/>
      <c r="C19" s="221"/>
      <c r="D19" s="221"/>
      <c r="E19" s="221"/>
    </row>
    <row r="20" spans="1:11" x14ac:dyDescent="0.3">
      <c r="A20" s="225" t="s">
        <v>732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8"/>
    </row>
    <row r="21" spans="1:11" x14ac:dyDescent="0.3">
      <c r="A21" s="176" t="s">
        <v>724</v>
      </c>
      <c r="B21" s="225" t="s">
        <v>726</v>
      </c>
      <c r="C21" s="226"/>
      <c r="D21" s="226"/>
      <c r="E21" s="226"/>
      <c r="F21" s="225" t="s">
        <v>725</v>
      </c>
      <c r="G21" s="226"/>
      <c r="H21" s="226"/>
      <c r="I21" s="176" t="s">
        <v>727</v>
      </c>
      <c r="J21" s="225" t="s">
        <v>731</v>
      </c>
      <c r="K21" s="228"/>
    </row>
    <row r="22" spans="1:11" x14ac:dyDescent="0.3">
      <c r="A22" s="225" t="s">
        <v>728</v>
      </c>
      <c r="B22" s="226"/>
      <c r="C22" s="225" t="s">
        <v>729</v>
      </c>
      <c r="D22" s="226"/>
      <c r="E22" s="226"/>
      <c r="F22" s="226"/>
      <c r="G22" s="226"/>
      <c r="H22" s="226"/>
      <c r="I22" s="226"/>
      <c r="J22" s="226"/>
      <c r="K22" s="228"/>
    </row>
    <row r="23" spans="1:11" x14ac:dyDescent="0.3">
      <c r="A23" s="222" t="s">
        <v>730</v>
      </c>
      <c r="B23" s="223"/>
      <c r="C23" s="223"/>
      <c r="D23" s="223"/>
      <c r="E23" s="223"/>
      <c r="F23" s="223"/>
      <c r="G23" s="222" t="s">
        <v>722</v>
      </c>
      <c r="H23" s="223"/>
      <c r="I23" s="223"/>
      <c r="J23" s="223"/>
      <c r="K23" s="227"/>
    </row>
  </sheetData>
  <mergeCells count="26">
    <mergeCell ref="A22:B22"/>
    <mergeCell ref="C22:K22"/>
    <mergeCell ref="A23:F23"/>
    <mergeCell ref="G23:K23"/>
    <mergeCell ref="B17:E17"/>
    <mergeCell ref="B18:E18"/>
    <mergeCell ref="B19:E19"/>
    <mergeCell ref="A20:K20"/>
    <mergeCell ref="B21:E21"/>
    <mergeCell ref="F21:H21"/>
    <mergeCell ref="J21:K21"/>
    <mergeCell ref="B16:E16"/>
    <mergeCell ref="A6:D6"/>
    <mergeCell ref="J6:K6"/>
    <mergeCell ref="A7:D7"/>
    <mergeCell ref="J7:K7"/>
    <mergeCell ref="A8:D8"/>
    <mergeCell ref="F8:H9"/>
    <mergeCell ref="J8:K8"/>
    <mergeCell ref="A9:D9"/>
    <mergeCell ref="J9:K9"/>
    <mergeCell ref="B11:E11"/>
    <mergeCell ref="B12:E12"/>
    <mergeCell ref="B13:E13"/>
    <mergeCell ref="B14:E14"/>
    <mergeCell ref="B15:E15"/>
  </mergeCells>
  <pageMargins left="0.7" right="0.7" top="0.75" bottom="0.75" header="0.3" footer="0.3"/>
  <pageSetup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bf49a1-c5fc-4fcd-ba51-2a024b47f4b8" xsi:nil="true"/>
    <lcf76f155ced4ddcb4097134ff3c332f xmlns="aae6ce00-c3f8-445c-b211-8a55b34617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86F17F9763F4AA2663D1D0F50E979" ma:contentTypeVersion="10" ma:contentTypeDescription="Create a new document." ma:contentTypeScope="" ma:versionID="bd0f0e7a63956836925e40fe3fd66e5f">
  <xsd:schema xmlns:xsd="http://www.w3.org/2001/XMLSchema" xmlns:xs="http://www.w3.org/2001/XMLSchema" xmlns:p="http://schemas.microsoft.com/office/2006/metadata/properties" xmlns:ns2="aae6ce00-c3f8-445c-b211-8a55b3461727" xmlns:ns3="ffbf49a1-c5fc-4fcd-ba51-2a024b47f4b8" targetNamespace="http://schemas.microsoft.com/office/2006/metadata/properties" ma:root="true" ma:fieldsID="46498854bea3f6643abd779535bc79b2" ns2:_="" ns3:_="">
    <xsd:import namespace="aae6ce00-c3f8-445c-b211-8a55b3461727"/>
    <xsd:import namespace="ffbf49a1-c5fc-4fcd-ba51-2a024b47f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6ce00-c3f8-445c-b211-8a55b3461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95e4fc-e237-4c5f-8c56-9bd72425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f49a1-c5fc-4fcd-ba51-2a024b47f4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d354c7-3932-4f8a-933b-a43db916f3b4}" ma:internalName="TaxCatchAll" ma:showField="CatchAllData" ma:web="ffbf49a1-c5fc-4fcd-ba51-2a024b47f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543005-7155-46B8-833C-1282F67DF465}">
  <ds:schemaRefs>
    <ds:schemaRef ds:uri="http://schemas.microsoft.com/office/2006/metadata/properties"/>
    <ds:schemaRef ds:uri="http://www.w3.org/2000/xmlns/"/>
    <ds:schemaRef ds:uri="ffbf49a1-c5fc-4fcd-ba51-2a024b47f4b8"/>
    <ds:schemaRef ds:uri="http://www.w3.org/2001/XMLSchema-instance"/>
    <ds:schemaRef ds:uri="aae6ce00-c3f8-445c-b211-8a55b3461727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C63C8F-B38E-40AA-BA37-E3A96FA5B3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0DCBA0-60BC-4DF7-90C3-A750D35E87B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ae6ce00-c3f8-445c-b211-8a55b3461727"/>
    <ds:schemaRef ds:uri="ffbf49a1-c5fc-4fcd-ba51-2a024b47f4b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Direct Trades-June</vt:lpstr>
      <vt:lpstr>Customers</vt:lpstr>
      <vt:lpstr>Vendors</vt:lpstr>
      <vt:lpstr>NOTES </vt:lpstr>
      <vt:lpstr>Item Codes</vt:lpstr>
      <vt:lpstr>Debit Form</vt:lpstr>
      <vt:lpstr>CREDIT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Watts</dc:creator>
  <cp:lastModifiedBy>Kristen Barnes</cp:lastModifiedBy>
  <cp:lastPrinted>2026-08-26T16:45:30Z</cp:lastPrinted>
  <dcterms:created xsi:type="dcterms:W3CDTF">2026-03-06T13:38:07Z</dcterms:created>
  <dcterms:modified xsi:type="dcterms:W3CDTF">2026-08-27T17:53:11Z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0x0101004E886F17F9763F4AA2663D1D0F50E979</vt:lpwstr>
  </property>
  <property fmtid="{D5CDD505-2E9C-101B-9397-08002B2CF9AE}" pid="3" name="MediaServiceImageTags">
    <vt:lpwstr/>
  </property>
</Properties>
</file>